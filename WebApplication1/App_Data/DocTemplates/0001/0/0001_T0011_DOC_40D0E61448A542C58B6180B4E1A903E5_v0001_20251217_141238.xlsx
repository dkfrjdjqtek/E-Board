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nyoungltd.sharepoint.com/sites/msteams_caa3c8-/Shared Documents/관리총무/총무/01. 총무일지/"/>
    </mc:Choice>
  </mc:AlternateContent>
  <xr:revisionPtr revIDLastSave="858" documentId="8_{501AC648-EA07-4D4D-A1BE-4BEE567EE79D}" xr6:coauthVersionLast="47" xr6:coauthVersionMax="47" xr10:uidLastSave="{9DA35B18-776E-4434-9059-569CA7B02821}"/>
  <bookViews>
    <workbookView xWindow="1755" yWindow="1485" windowWidth="19230" windowHeight="12780" tabRatio="882" xr2:uid="{037A081C-76BB-4D0F-B4CB-D0DD85473A79}"/>
  </bookViews>
  <sheets>
    <sheet name="12월17일" sheetId="861" r:id="rId1"/>
    <sheet name="12월16일" sheetId="860" r:id="rId2"/>
    <sheet name="12월15일" sheetId="859" r:id="rId3"/>
    <sheet name="12월12일" sheetId="858" r:id="rId4"/>
    <sheet name="12월11일" sheetId="857" r:id="rId5"/>
    <sheet name="12월10일" sheetId="856" r:id="rId6"/>
    <sheet name="12월9일" sheetId="855" r:id="rId7"/>
    <sheet name="12월8일" sheetId="854" r:id="rId8"/>
    <sheet name="12월5일" sheetId="853" r:id="rId9"/>
    <sheet name="12월4일" sheetId="852" r:id="rId10"/>
    <sheet name="12월3일" sheetId="851" r:id="rId11"/>
    <sheet name="12월2일" sheetId="850" r:id="rId12"/>
    <sheet name="12월1일" sheetId="849" r:id="rId13"/>
  </sheets>
  <definedNames>
    <definedName name="_xlnm.Print_Area" localSheetId="5">'12월10일'!$B$1:$AA$80</definedName>
    <definedName name="_xlnm.Print_Area" localSheetId="4">'12월11일'!$B$1:$AA$79</definedName>
    <definedName name="_xlnm.Print_Area" localSheetId="3">'12월12일'!$B$1:$AA$78</definedName>
    <definedName name="_xlnm.Print_Area" localSheetId="2">'12월15일'!$B$1:$AA$80</definedName>
    <definedName name="_xlnm.Print_Area" localSheetId="1">'12월16일'!$B$1:$AA$79</definedName>
    <definedName name="_xlnm.Print_Area" localSheetId="0">'12월17일'!$B$1:$AA$82</definedName>
    <definedName name="_xlnm.Print_Area" localSheetId="12">'12월1일'!$B$1:$AA$82</definedName>
    <definedName name="_xlnm.Print_Area" localSheetId="11">'12월2일'!$B$1:$AA$80</definedName>
    <definedName name="_xlnm.Print_Area" localSheetId="10">'12월3일'!$B$1:$AA$81</definedName>
    <definedName name="_xlnm.Print_Area" localSheetId="9">'12월4일'!$B$1:$AA$80</definedName>
    <definedName name="_xlnm.Print_Area" localSheetId="8">'12월5일'!$B$1:$AA$79</definedName>
    <definedName name="_xlnm.Print_Area" localSheetId="7">'12월8일'!$B$1:$AA$82</definedName>
    <definedName name="_xlnm.Print_Area" localSheetId="6">'12월9일'!$B$1:$AA$80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9" i="861" l="1"/>
  <c r="L49" i="861"/>
  <c r="N41" i="861"/>
  <c r="N40" i="861"/>
  <c r="H30" i="861"/>
  <c r="H9" i="861" s="1"/>
  <c r="H27" i="861"/>
  <c r="H26" i="861"/>
  <c r="H25" i="861"/>
  <c r="H24" i="861"/>
  <c r="H23" i="861"/>
  <c r="H22" i="861"/>
  <c r="H18" i="861"/>
  <c r="H17" i="861"/>
  <c r="H16" i="861"/>
  <c r="H15" i="861"/>
  <c r="L9" i="861"/>
  <c r="J9" i="861"/>
  <c r="F9" i="861"/>
  <c r="L8" i="861"/>
  <c r="J8" i="861"/>
  <c r="F8" i="861"/>
  <c r="J7" i="861"/>
  <c r="F7" i="861"/>
  <c r="Z49" i="860"/>
  <c r="L49" i="860"/>
  <c r="N41" i="860"/>
  <c r="N40" i="860"/>
  <c r="H30" i="860"/>
  <c r="H9" i="860" s="1"/>
  <c r="H27" i="860"/>
  <c r="H26" i="860"/>
  <c r="H25" i="860"/>
  <c r="H24" i="860"/>
  <c r="H23" i="860"/>
  <c r="H22" i="860"/>
  <c r="H18" i="860"/>
  <c r="H17" i="860"/>
  <c r="H16" i="860"/>
  <c r="H15" i="860"/>
  <c r="H7" i="860" s="1"/>
  <c r="L9" i="860"/>
  <c r="J9" i="860"/>
  <c r="F9" i="860"/>
  <c r="L8" i="860"/>
  <c r="J8" i="860"/>
  <c r="F8" i="860"/>
  <c r="J7" i="860"/>
  <c r="J10" i="860" s="1"/>
  <c r="F7" i="860"/>
  <c r="F10" i="861" l="1"/>
  <c r="H8" i="861"/>
  <c r="H7" i="861"/>
  <c r="H10" i="861" s="1"/>
  <c r="L10" i="861"/>
  <c r="J10" i="861"/>
  <c r="F10" i="860"/>
  <c r="L10" i="860"/>
  <c r="H8" i="860"/>
  <c r="H10" i="860" s="1"/>
  <c r="Z50" i="859"/>
  <c r="Z49" i="859"/>
  <c r="L49" i="859"/>
  <c r="L50" i="859"/>
  <c r="Z51" i="859"/>
  <c r="L51" i="859"/>
  <c r="N41" i="859"/>
  <c r="N40" i="859"/>
  <c r="H30" i="859"/>
  <c r="H9" i="859" s="1"/>
  <c r="H27" i="859"/>
  <c r="H26" i="859"/>
  <c r="H25" i="859"/>
  <c r="H24" i="859"/>
  <c r="H23" i="859"/>
  <c r="H22" i="859"/>
  <c r="H18" i="859"/>
  <c r="H17" i="859"/>
  <c r="H16" i="859"/>
  <c r="H15" i="859"/>
  <c r="L9" i="859"/>
  <c r="J9" i="859"/>
  <c r="F9" i="859"/>
  <c r="L8" i="859"/>
  <c r="J8" i="859"/>
  <c r="F8" i="859"/>
  <c r="J7" i="859"/>
  <c r="F7" i="859"/>
  <c r="F10" i="859" l="1"/>
  <c r="H7" i="859"/>
  <c r="L10" i="859"/>
  <c r="H8" i="859"/>
  <c r="H10" i="859" s="1"/>
  <c r="J10" i="859"/>
  <c r="Z49" i="858"/>
  <c r="L49" i="858"/>
  <c r="N41" i="858"/>
  <c r="N40" i="858"/>
  <c r="H30" i="858"/>
  <c r="H9" i="858" s="1"/>
  <c r="H27" i="858"/>
  <c r="H26" i="858"/>
  <c r="H25" i="858"/>
  <c r="H24" i="858"/>
  <c r="H23" i="858"/>
  <c r="H22" i="858"/>
  <c r="H18" i="858"/>
  <c r="H17" i="858"/>
  <c r="H16" i="858"/>
  <c r="H15" i="858"/>
  <c r="L9" i="858"/>
  <c r="J9" i="858"/>
  <c r="F9" i="858"/>
  <c r="L8" i="858"/>
  <c r="J8" i="858"/>
  <c r="F8" i="858"/>
  <c r="J7" i="858"/>
  <c r="F7" i="858"/>
  <c r="Z49" i="857"/>
  <c r="L49" i="857"/>
  <c r="N41" i="857"/>
  <c r="N40" i="857"/>
  <c r="H30" i="857"/>
  <c r="H9" i="857" s="1"/>
  <c r="H27" i="857"/>
  <c r="H26" i="857"/>
  <c r="H25" i="857"/>
  <c r="H24" i="857"/>
  <c r="H23" i="857"/>
  <c r="H22" i="857"/>
  <c r="H8" i="857" s="1"/>
  <c r="H18" i="857"/>
  <c r="H17" i="857"/>
  <c r="H16" i="857"/>
  <c r="H15" i="857"/>
  <c r="H7" i="857" s="1"/>
  <c r="L10" i="857"/>
  <c r="F10" i="857"/>
  <c r="L9" i="857"/>
  <c r="J9" i="857"/>
  <c r="F9" i="857"/>
  <c r="L8" i="857"/>
  <c r="J8" i="857"/>
  <c r="F8" i="857"/>
  <c r="J7" i="857"/>
  <c r="J10" i="857" s="1"/>
  <c r="F7" i="857"/>
  <c r="J10" i="858" l="1"/>
  <c r="L10" i="858"/>
  <c r="H8" i="858"/>
  <c r="F10" i="858"/>
  <c r="H7" i="858"/>
  <c r="H10" i="857"/>
  <c r="H10" i="858" l="1"/>
  <c r="Z49" i="856"/>
  <c r="L49" i="856"/>
  <c r="N41" i="856"/>
  <c r="N40" i="856"/>
  <c r="H30" i="856"/>
  <c r="H27" i="856"/>
  <c r="H26" i="856"/>
  <c r="H25" i="856"/>
  <c r="H24" i="856"/>
  <c r="H23" i="856"/>
  <c r="H22" i="856"/>
  <c r="H8" i="856" s="1"/>
  <c r="H18" i="856"/>
  <c r="H17" i="856"/>
  <c r="H16" i="856"/>
  <c r="H15" i="856"/>
  <c r="H7" i="856" s="1"/>
  <c r="L10" i="856"/>
  <c r="J10" i="856"/>
  <c r="L9" i="856"/>
  <c r="J9" i="856"/>
  <c r="H9" i="856"/>
  <c r="F9" i="856"/>
  <c r="L8" i="856"/>
  <c r="J8" i="856"/>
  <c r="F8" i="856"/>
  <c r="J7" i="856"/>
  <c r="F7" i="856"/>
  <c r="F10" i="856" s="1"/>
  <c r="H10" i="856" l="1"/>
  <c r="Z49" i="855"/>
  <c r="L49" i="855"/>
  <c r="N41" i="855"/>
  <c r="N40" i="855"/>
  <c r="H30" i="855"/>
  <c r="H9" i="855" s="1"/>
  <c r="H27" i="855"/>
  <c r="H26" i="855"/>
  <c r="H25" i="855"/>
  <c r="H24" i="855"/>
  <c r="H23" i="855"/>
  <c r="H22" i="855"/>
  <c r="H18" i="855"/>
  <c r="H17" i="855"/>
  <c r="H16" i="855"/>
  <c r="H15" i="855"/>
  <c r="L9" i="855"/>
  <c r="J9" i="855"/>
  <c r="F9" i="855"/>
  <c r="L8" i="855"/>
  <c r="L10" i="855" s="1"/>
  <c r="J8" i="855"/>
  <c r="F8" i="855"/>
  <c r="J7" i="855"/>
  <c r="F7" i="855"/>
  <c r="F10" i="855" s="1"/>
  <c r="Z49" i="854"/>
  <c r="Z50" i="854"/>
  <c r="L49" i="854"/>
  <c r="L50" i="854"/>
  <c r="J10" i="855" l="1"/>
  <c r="H7" i="855"/>
  <c r="H8" i="855"/>
  <c r="H10" i="855" s="1"/>
  <c r="Z51" i="854"/>
  <c r="L51" i="854"/>
  <c r="N41" i="854"/>
  <c r="N40" i="854"/>
  <c r="H30" i="854"/>
  <c r="H9" i="854" s="1"/>
  <c r="H27" i="854"/>
  <c r="H26" i="854"/>
  <c r="H25" i="854"/>
  <c r="H24" i="854"/>
  <c r="H23" i="854"/>
  <c r="H22" i="854"/>
  <c r="H18" i="854"/>
  <c r="H17" i="854"/>
  <c r="H16" i="854"/>
  <c r="H15" i="854"/>
  <c r="L9" i="854"/>
  <c r="J9" i="854"/>
  <c r="F9" i="854"/>
  <c r="L8" i="854"/>
  <c r="J8" i="854"/>
  <c r="F8" i="854"/>
  <c r="F10" i="854" s="1"/>
  <c r="J7" i="854"/>
  <c r="F7" i="854"/>
  <c r="Z49" i="853"/>
  <c r="L49" i="853"/>
  <c r="N41" i="853"/>
  <c r="N40" i="853"/>
  <c r="H30" i="853"/>
  <c r="H9" i="853" s="1"/>
  <c r="H27" i="853"/>
  <c r="H26" i="853"/>
  <c r="H25" i="853"/>
  <c r="H24" i="853"/>
  <c r="H23" i="853"/>
  <c r="H22" i="853"/>
  <c r="H18" i="853"/>
  <c r="H17" i="853"/>
  <c r="H16" i="853"/>
  <c r="H15" i="853"/>
  <c r="L9" i="853"/>
  <c r="J9" i="853"/>
  <c r="F9" i="853"/>
  <c r="L8" i="853"/>
  <c r="J8" i="853"/>
  <c r="F8" i="853"/>
  <c r="J7" i="853"/>
  <c r="F7" i="853"/>
  <c r="H7" i="854" l="1"/>
  <c r="L10" i="854"/>
  <c r="J10" i="854"/>
  <c r="H8" i="854"/>
  <c r="H7" i="853"/>
  <c r="L10" i="853"/>
  <c r="H8" i="853"/>
  <c r="H10" i="853" s="1"/>
  <c r="F10" i="853"/>
  <c r="J10" i="853"/>
  <c r="Z49" i="852"/>
  <c r="L49" i="852"/>
  <c r="N41" i="852"/>
  <c r="N40" i="852"/>
  <c r="H30" i="852"/>
  <c r="H9" i="852" s="1"/>
  <c r="H27" i="852"/>
  <c r="H26" i="852"/>
  <c r="H25" i="852"/>
  <c r="H24" i="852"/>
  <c r="H23" i="852"/>
  <c r="H22" i="852"/>
  <c r="H18" i="852"/>
  <c r="H17" i="852"/>
  <c r="H16" i="852"/>
  <c r="H15" i="852"/>
  <c r="L9" i="852"/>
  <c r="J9" i="852"/>
  <c r="F9" i="852"/>
  <c r="L8" i="852"/>
  <c r="J8" i="852"/>
  <c r="F8" i="852"/>
  <c r="J7" i="852"/>
  <c r="F7" i="852"/>
  <c r="Z49" i="851"/>
  <c r="L49" i="851"/>
  <c r="N41" i="851"/>
  <c r="N40" i="851"/>
  <c r="H30" i="851"/>
  <c r="H9" i="851" s="1"/>
  <c r="H27" i="851"/>
  <c r="H26" i="851"/>
  <c r="H25" i="851"/>
  <c r="H24" i="851"/>
  <c r="H23" i="851"/>
  <c r="H22" i="851"/>
  <c r="H18" i="851"/>
  <c r="H17" i="851"/>
  <c r="H16" i="851"/>
  <c r="H15" i="851"/>
  <c r="L9" i="851"/>
  <c r="J9" i="851"/>
  <c r="F9" i="851"/>
  <c r="L8" i="851"/>
  <c r="J8" i="851"/>
  <c r="F8" i="851"/>
  <c r="J7" i="851"/>
  <c r="J10" i="851" s="1"/>
  <c r="F7" i="851"/>
  <c r="Z49" i="850"/>
  <c r="L49" i="850"/>
  <c r="N41" i="850"/>
  <c r="N40" i="850"/>
  <c r="H30" i="850"/>
  <c r="H9" i="850" s="1"/>
  <c r="H27" i="850"/>
  <c r="H26" i="850"/>
  <c r="H25" i="850"/>
  <c r="H24" i="850"/>
  <c r="H23" i="850"/>
  <c r="H22" i="850"/>
  <c r="H18" i="850"/>
  <c r="H17" i="850"/>
  <c r="H16" i="850"/>
  <c r="H15" i="850"/>
  <c r="L10" i="850"/>
  <c r="L9" i="850"/>
  <c r="J9" i="850"/>
  <c r="F9" i="850"/>
  <c r="L8" i="850"/>
  <c r="J8" i="850"/>
  <c r="F8" i="850"/>
  <c r="J7" i="850"/>
  <c r="J10" i="850" s="1"/>
  <c r="F7" i="850"/>
  <c r="Z49" i="849"/>
  <c r="Z50" i="849"/>
  <c r="Z51" i="849"/>
  <c r="L49" i="849"/>
  <c r="L50" i="849"/>
  <c r="L51" i="849"/>
  <c r="N41" i="849"/>
  <c r="N40" i="849"/>
  <c r="H30" i="849"/>
  <c r="H9" i="849" s="1"/>
  <c r="H27" i="849"/>
  <c r="H26" i="849"/>
  <c r="H25" i="849"/>
  <c r="H24" i="849"/>
  <c r="H23" i="849"/>
  <c r="H22" i="849"/>
  <c r="H18" i="849"/>
  <c r="H17" i="849"/>
  <c r="H16" i="849"/>
  <c r="H15" i="849"/>
  <c r="L9" i="849"/>
  <c r="J9" i="849"/>
  <c r="F9" i="849"/>
  <c r="L8" i="849"/>
  <c r="J8" i="849"/>
  <c r="F8" i="849"/>
  <c r="J7" i="849"/>
  <c r="F7" i="849"/>
  <c r="H10" i="854" l="1"/>
  <c r="J10" i="852"/>
  <c r="F10" i="852"/>
  <c r="H7" i="852"/>
  <c r="H8" i="852"/>
  <c r="L10" i="852"/>
  <c r="F10" i="851"/>
  <c r="L10" i="851"/>
  <c r="H8" i="851"/>
  <c r="H7" i="851"/>
  <c r="H10" i="851" s="1"/>
  <c r="F10" i="850"/>
  <c r="H7" i="850"/>
  <c r="H8" i="850"/>
  <c r="L10" i="849"/>
  <c r="F10" i="849"/>
  <c r="H8" i="849"/>
  <c r="H7" i="849"/>
  <c r="H10" i="849" s="1"/>
  <c r="J10" i="849"/>
  <c r="H10" i="852" l="1"/>
  <c r="H10" i="8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A4E7A674-B4BF-440E-816B-C258B796ECD1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8153A1D3-1DF7-4487-9BA9-173607AA50BE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27FED270-ACC3-4A32-8568-3BBBFA6FF297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0DE95972-CE90-4F4C-9113-D67788F56AF3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F78A093D-8975-400F-A39D-BA99753E86BE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CAC09EE8-93ED-4749-9766-44A855CE9DCD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8D741648-E4D0-448F-A470-FD689454B8E0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AC513B8C-4100-467F-95A8-C49D8A9DEE6E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A39B3611-7664-43ED-B44E-0266512F6B7E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5A6BD3A9-AF3D-4855-ACAB-97DBE99B98F2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3B234155-B761-401B-94E3-62B284D2931B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F33DBB0D-CA21-49E3-9E40-B479D0857519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박상진</author>
  </authors>
  <commentList>
    <comment ref="AB45" authorId="0" shapeId="0" xr:uid="{17ABCD22-FE80-42C8-A886-0FFA9E275647}">
      <text>
        <r>
          <rPr>
            <sz val="9"/>
            <color indexed="81"/>
            <rFont val="돋움"/>
            <family val="3"/>
            <charset val="129"/>
          </rPr>
          <t>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파워플래너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비번
</t>
        </r>
        <r>
          <rPr>
            <sz val="9"/>
            <color indexed="81"/>
            <rFont val="Tahoma"/>
            <family val="2"/>
          </rPr>
          <t>0437188464(</t>
        </r>
        <r>
          <rPr>
            <sz val="9"/>
            <color indexed="81"/>
            <rFont val="돋움"/>
            <family val="3"/>
            <charset val="129"/>
          </rPr>
          <t>고객번호</t>
        </r>
        <r>
          <rPr>
            <sz val="9"/>
            <color indexed="81"/>
            <rFont val="Tahoma"/>
            <family val="2"/>
          </rPr>
          <t>)/hyind1925</t>
        </r>
      </text>
    </comment>
  </commentList>
</comments>
</file>

<file path=xl/sharedStrings.xml><?xml version="1.0" encoding="utf-8"?>
<sst xmlns="http://schemas.openxmlformats.org/spreadsheetml/2006/main" count="2106" uniqueCount="258">
  <si>
    <t>총 무 일 지</t>
    <phoneticPr fontId="3" type="noConversion"/>
  </si>
  <si>
    <t xml:space="preserve">  인원현황</t>
    <phoneticPr fontId="3" type="noConversion"/>
  </si>
  <si>
    <t xml:space="preserve">   </t>
    <phoneticPr fontId="3" type="noConversion"/>
  </si>
  <si>
    <t>구분</t>
  </si>
  <si>
    <t>총원</t>
  </si>
  <si>
    <t>출근</t>
  </si>
  <si>
    <t>출장</t>
  </si>
  <si>
    <t>기타</t>
  </si>
  <si>
    <t>비    고</t>
  </si>
  <si>
    <t>생산직</t>
    <phoneticPr fontId="3" type="noConversion"/>
  </si>
  <si>
    <t>사무직</t>
    <phoneticPr fontId="3" type="noConversion"/>
  </si>
  <si>
    <t>연구</t>
    <phoneticPr fontId="3" type="noConversion"/>
  </si>
  <si>
    <t>계</t>
    <phoneticPr fontId="3" type="noConversion"/>
  </si>
  <si>
    <t>경비(주야근무)</t>
    <phoneticPr fontId="3" type="noConversion"/>
  </si>
  <si>
    <t>생산부</t>
  </si>
  <si>
    <t>출근자</t>
  </si>
  <si>
    <t xml:space="preserve">  연차 및 기타</t>
    <phoneticPr fontId="3" type="noConversion"/>
  </si>
  <si>
    <t xml:space="preserve"> </t>
    <phoneticPr fontId="3" type="noConversion"/>
  </si>
  <si>
    <t>생산1부</t>
  </si>
  <si>
    <t>생산2부</t>
  </si>
  <si>
    <t>검단/공무</t>
    <phoneticPr fontId="3" type="noConversion"/>
  </si>
  <si>
    <t>영업부</t>
  </si>
  <si>
    <t>해외출장자</t>
    <phoneticPr fontId="3" type="noConversion"/>
  </si>
  <si>
    <t>사무실</t>
  </si>
  <si>
    <t>연차 및 기타</t>
    <phoneticPr fontId="3" type="noConversion"/>
  </si>
  <si>
    <t>임원</t>
  </si>
  <si>
    <t>해외영업부</t>
  </si>
  <si>
    <t>영업관리부</t>
  </si>
  <si>
    <t>연구실</t>
  </si>
  <si>
    <t>출근자</t>
    <phoneticPr fontId="3" type="noConversion"/>
  </si>
  <si>
    <t>연차 및 기타</t>
  </si>
  <si>
    <t xml:space="preserve">  해외출장자 출근현황 (출근 O, 휴가 X, 반차 △)</t>
    <phoneticPr fontId="3" type="noConversion"/>
  </si>
  <si>
    <t>성명</t>
  </si>
  <si>
    <t>입국</t>
  </si>
  <si>
    <t>출국</t>
  </si>
  <si>
    <t>출근시간</t>
  </si>
  <si>
    <t>총연차</t>
  </si>
  <si>
    <t>근무일수</t>
  </si>
  <si>
    <t>남은연차일수</t>
  </si>
  <si>
    <t>수</t>
  </si>
  <si>
    <t>목</t>
  </si>
  <si>
    <t>월</t>
  </si>
  <si>
    <t xml:space="preserve">  검침사항 </t>
    <phoneticPr fontId="3" type="noConversion"/>
  </si>
  <si>
    <t>단위</t>
  </si>
  <si>
    <t>당일검침</t>
  </si>
  <si>
    <t>전일사용량</t>
  </si>
  <si>
    <t>전기</t>
    <phoneticPr fontId="3" type="noConversion"/>
  </si>
  <si>
    <t>Kw/H</t>
  </si>
  <si>
    <t>가스</t>
  </si>
  <si>
    <t>㎥</t>
  </si>
  <si>
    <t>수도</t>
  </si>
  <si>
    <t>Ton</t>
  </si>
  <si>
    <t xml:space="preserve">  점검사항</t>
    <phoneticPr fontId="3" type="noConversion"/>
  </si>
  <si>
    <t>콤프레샤</t>
    <phoneticPr fontId="3" type="noConversion"/>
  </si>
  <si>
    <t>가동 기계</t>
    <phoneticPr fontId="3" type="noConversion"/>
  </si>
  <si>
    <t>온도</t>
    <phoneticPr fontId="3" type="noConversion"/>
  </si>
  <si>
    <t>시간(h)</t>
    <phoneticPr fontId="3" type="noConversion"/>
  </si>
  <si>
    <t>비고</t>
    <phoneticPr fontId="3" type="noConversion"/>
  </si>
  <si>
    <t>압력용기</t>
    <phoneticPr fontId="3" type="noConversion"/>
  </si>
  <si>
    <t>안전밸브 작동 유무</t>
    <phoneticPr fontId="3" type="noConversion"/>
  </si>
  <si>
    <t xml:space="preserve">배관, 누수 </t>
    <phoneticPr fontId="3" type="noConversion"/>
  </si>
  <si>
    <t>응축수 배출상태</t>
    <phoneticPr fontId="3" type="noConversion"/>
  </si>
  <si>
    <t>이상없음</t>
    <phoneticPr fontId="3" type="noConversion"/>
  </si>
  <si>
    <t xml:space="preserve">  익일업무 계획</t>
  </si>
  <si>
    <t xml:space="preserve">  업무사항</t>
    <phoneticPr fontId="3" type="noConversion"/>
  </si>
  <si>
    <t xml:space="preserve">  태양광 설비발전사항 </t>
    <phoneticPr fontId="3" type="noConversion"/>
  </si>
  <si>
    <t>합계</t>
    <phoneticPr fontId="3" type="noConversion"/>
  </si>
  <si>
    <t xml:space="preserve">       </t>
    <phoneticPr fontId="3" type="noConversion"/>
  </si>
  <si>
    <t>전일검침</t>
    <phoneticPr fontId="3" type="noConversion"/>
  </si>
  <si>
    <t xml:space="preserve">월 사용량 </t>
    <phoneticPr fontId="3" type="noConversion"/>
  </si>
  <si>
    <t xml:space="preserve">  전기 사용량 </t>
    <phoneticPr fontId="3" type="noConversion"/>
  </si>
  <si>
    <t>날짜</t>
    <phoneticPr fontId="3" type="noConversion"/>
  </si>
  <si>
    <t xml:space="preserve">                  </t>
    <phoneticPr fontId="3" type="noConversion"/>
  </si>
  <si>
    <t>건물(113kW)</t>
    <phoneticPr fontId="3" type="noConversion"/>
  </si>
  <si>
    <t>자가(349.8kW)</t>
    <phoneticPr fontId="3" type="noConversion"/>
  </si>
  <si>
    <t>월 발전량</t>
  </si>
  <si>
    <t>월 누적</t>
    <phoneticPr fontId="3" type="noConversion"/>
  </si>
  <si>
    <t>전체 누적</t>
    <phoneticPr fontId="3" type="noConversion"/>
  </si>
  <si>
    <t>판매사업(275kW)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</si>
  <si>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</t>
    <phoneticPr fontId="3" type="noConversion"/>
  </si>
  <si>
    <t>전일 사용량</t>
    <phoneticPr fontId="3" type="noConversion"/>
  </si>
  <si>
    <t xml:space="preserve">                                                                                                                        </t>
    <phoneticPr fontId="3" type="noConversion"/>
  </si>
  <si>
    <t xml:space="preserve">     </t>
    <phoneticPr fontId="3" type="noConversion"/>
  </si>
  <si>
    <t xml:space="preserve">                                                                                               </t>
    <phoneticPr fontId="3" type="noConversion"/>
  </si>
  <si>
    <t>박윤모, 하태운, 김영철</t>
    <phoneticPr fontId="3" type="noConversion"/>
  </si>
  <si>
    <t>관리회계</t>
    <phoneticPr fontId="3" type="noConversion"/>
  </si>
  <si>
    <t>관리총무/IT</t>
    <phoneticPr fontId="3" type="noConversion"/>
  </si>
  <si>
    <t>기획실</t>
    <phoneticPr fontId="3" type="noConversion"/>
  </si>
  <si>
    <t>손태우</t>
    <phoneticPr fontId="3" type="noConversion"/>
  </si>
  <si>
    <t xml:space="preserve">                                                                                                            </t>
    <phoneticPr fontId="3" type="noConversion"/>
  </si>
  <si>
    <t>화</t>
  </si>
  <si>
    <t>금</t>
  </si>
  <si>
    <t>토</t>
  </si>
  <si>
    <t>현재 REC 개수</t>
    <phoneticPr fontId="3" type="noConversion"/>
  </si>
  <si>
    <t>금일 REC 평균 가격</t>
    <phoneticPr fontId="3" type="noConversion"/>
  </si>
  <si>
    <t xml:space="preserve">  REC 현황</t>
    <phoneticPr fontId="3" type="noConversion"/>
  </si>
  <si>
    <t>정순진 휴직</t>
    <phoneticPr fontId="3" type="noConversion"/>
  </si>
  <si>
    <t>김성희(HO), 박규리, 박나리(SY)</t>
    <phoneticPr fontId="3" type="noConversion"/>
  </si>
  <si>
    <t xml:space="preserve">  특이사항</t>
    <phoneticPr fontId="3" type="noConversion"/>
  </si>
  <si>
    <t>최찬파, 김태형, 박광모(GJ)</t>
    <phoneticPr fontId="3" type="noConversion"/>
  </si>
  <si>
    <t>비   고</t>
    <phoneticPr fontId="3" type="noConversion"/>
  </si>
  <si>
    <t>문수만, 김주연, 김정환(SY), 김태은(SY)</t>
    <phoneticPr fontId="3" type="noConversion"/>
  </si>
  <si>
    <t>이승희 출산휴가(9/14~12/12)</t>
    <phoneticPr fontId="3" type="noConversion"/>
  </si>
  <si>
    <t>주현우 과장, 최철호 대리 육아휴직, 이승희 대리 출산휴가</t>
    <phoneticPr fontId="3" type="noConversion"/>
  </si>
  <si>
    <t>주연훈</t>
    <phoneticPr fontId="3" type="noConversion"/>
  </si>
  <si>
    <t>박현태, 김병기, 박건우, 윤한훈, 오현진</t>
    <phoneticPr fontId="3" type="noConversion"/>
  </si>
  <si>
    <t>곽수영 사장 베트남 출장</t>
    <phoneticPr fontId="3" type="noConversion"/>
  </si>
  <si>
    <t>박영희, 정동규, 서희근, 조상현, 이주현</t>
    <phoneticPr fontId="3" type="noConversion"/>
  </si>
  <si>
    <t>파워플래너 아이디/비번</t>
    <phoneticPr fontId="3" type="noConversion"/>
  </si>
  <si>
    <t>하지훈, 이동원, 오가영, 배강희(SY)</t>
    <phoneticPr fontId="3" type="noConversion"/>
  </si>
  <si>
    <t>일</t>
    <phoneticPr fontId="3" type="noConversion"/>
  </si>
  <si>
    <t>월</t>
    <phoneticPr fontId="3" type="noConversion"/>
  </si>
  <si>
    <t>토</t>
    <phoneticPr fontId="3" type="noConversion"/>
  </si>
  <si>
    <t>권영환, 이승현, 이규민</t>
    <phoneticPr fontId="3" type="noConversion"/>
  </si>
  <si>
    <t>박인권 휴직
주현우 육아휴직(2025/8/1~2025/12/31)</t>
    <phoneticPr fontId="3" type="noConversion"/>
  </si>
  <si>
    <t>김정환 이사 연차</t>
    <phoneticPr fontId="3" type="noConversion"/>
  </si>
  <si>
    <t>박정호, 황성욱, 최원석(HS), 하경호(HO)
김명수(GJ), 이명자, 김종상(SY), 박상진,
한귀빈, 배주빈</t>
    <phoneticPr fontId="3" type="noConversion"/>
  </si>
  <si>
    <t>IT 배주빈 사원 입사</t>
    <phoneticPr fontId="3" type="noConversion"/>
  </si>
  <si>
    <t xml:space="preserve">1,416.37	</t>
    <phoneticPr fontId="3" type="noConversion"/>
  </si>
  <si>
    <t>* 11/28(금) 12월 안전교육일지 작성</t>
    <phoneticPr fontId="3" type="noConversion"/>
  </si>
  <si>
    <t xml:space="preserve"> - 교육내용 : 겨울철 화재예방</t>
    <phoneticPr fontId="3" type="noConversion"/>
  </si>
  <si>
    <t>* 11/28(금) 도시가스 계량기 교체일정 확인</t>
    <phoneticPr fontId="3" type="noConversion"/>
  </si>
  <si>
    <t xml:space="preserve"> - 부산도시가스에서 교체작업 진행</t>
    <phoneticPr fontId="3" type="noConversion"/>
  </si>
  <si>
    <t xml:space="preserve"> - 11/29(토) 오후 계량기 교체 예정(계량기 교체하는 동안 가스 사용 불가)</t>
    <phoneticPr fontId="3" type="noConversion"/>
  </si>
  <si>
    <t>김정환 연차
최철호 육아휴직(2025/9/23~2026/9/22)</t>
    <phoneticPr fontId="3" type="noConversion"/>
  </si>
  <si>
    <t>권순재, 문기덕, 한부찬, 이설창, 
문우빈</t>
    <phoneticPr fontId="3" type="noConversion"/>
  </si>
  <si>
    <t>* 11/28(금) 태광 개발 김주경 부장 장모상 조화 발송</t>
    <phoneticPr fontId="3" type="noConversion"/>
  </si>
  <si>
    <t xml:space="preserve"> - 빈소 : 부산 한중프라임장례식장 302호</t>
    <phoneticPr fontId="3" type="noConversion"/>
  </si>
  <si>
    <t xml:space="preserve">  주간업무 계획(12/1~12/5)</t>
    <phoneticPr fontId="3" type="noConversion"/>
  </si>
  <si>
    <t>오형구</t>
    <phoneticPr fontId="3" type="noConversion"/>
  </si>
  <si>
    <t>최철호 육아휴직(2025/9/23~2026/9/22)</t>
    <phoneticPr fontId="3" type="noConversion"/>
  </si>
  <si>
    <t>김정환, 권순재, 문기덕, 한부찬, 이설창, 
문우빈</t>
    <phoneticPr fontId="3" type="noConversion"/>
  </si>
  <si>
    <t xml:space="preserve"> - 12/2(화) 오전 방문 예정</t>
    <phoneticPr fontId="3" type="noConversion"/>
  </si>
  <si>
    <t>* 12/1(월) CYCLONE 손님 방문 환영메세지 제작</t>
    <phoneticPr fontId="3" type="noConversion"/>
  </si>
  <si>
    <t>* 12/1(월) 12월 청소구역, 체크리스트 게시</t>
    <phoneticPr fontId="3" type="noConversion"/>
  </si>
  <si>
    <t xml:space="preserve"> - 야외 화장실, 펌프실, 콤프레샤 등</t>
    <phoneticPr fontId="3" type="noConversion"/>
  </si>
  <si>
    <t>* 12/1(월) 11월 콤프레샤 가동시간 정리</t>
    <phoneticPr fontId="3" type="noConversion"/>
  </si>
  <si>
    <t>해외영업부 오가영 사원 퇴사</t>
    <phoneticPr fontId="3" type="noConversion"/>
  </si>
  <si>
    <t>* 12/1(월) 해외영업부 오가영 사원 퇴사</t>
    <phoneticPr fontId="3" type="noConversion"/>
  </si>
  <si>
    <t xml:space="preserve"> - 12/1(월)부로 퇴사</t>
    <phoneticPr fontId="3" type="noConversion"/>
  </si>
  <si>
    <t>하지훈, 이동원, 배강희(SY)</t>
    <phoneticPr fontId="3" type="noConversion"/>
  </si>
  <si>
    <t xml:space="preserve">1,768.79	</t>
    <phoneticPr fontId="3" type="noConversion"/>
  </si>
  <si>
    <t>* 12/2(화) CYCLONE 손님 방문 준비</t>
    <phoneticPr fontId="3" type="noConversion"/>
  </si>
  <si>
    <t xml:space="preserve"> - 환영메세지 게시</t>
    <phoneticPr fontId="3" type="noConversion"/>
  </si>
  <si>
    <t xml:space="preserve"> - 사무동, 현장 청소상태 확인</t>
    <phoneticPr fontId="3" type="noConversion"/>
  </si>
  <si>
    <t xml:space="preserve">* 12/2(화) 안전보건관리체계 구축 컨설팅 </t>
    <phoneticPr fontId="3" type="noConversion"/>
  </si>
  <si>
    <t xml:space="preserve"> - 안전보건공단 김태환 차장 방문</t>
    <phoneticPr fontId="3" type="noConversion"/>
  </si>
  <si>
    <t xml:space="preserve"> - 사장님 면담 및 안전보건관리체계 구축 관련 자료 전달</t>
    <phoneticPr fontId="3" type="noConversion"/>
  </si>
  <si>
    <t>김정환 대리 오후반차</t>
    <phoneticPr fontId="3" type="noConversion"/>
  </si>
  <si>
    <t>김정환(SY) 오후반차</t>
    <phoneticPr fontId="3" type="noConversion"/>
  </si>
  <si>
    <t>* 12/2(화) 탈의실 세탁기 청소</t>
    <phoneticPr fontId="3" type="noConversion"/>
  </si>
  <si>
    <t xml:space="preserve"> - 먼지거름망, 배수관 이물질 제거</t>
    <phoneticPr fontId="3" type="noConversion"/>
  </si>
  <si>
    <t>* 12/3(수) 해외영업부 입사지원자 면접</t>
    <phoneticPr fontId="3" type="noConversion"/>
  </si>
  <si>
    <t xml:space="preserve"> - 면접자 : 탁연희</t>
    <phoneticPr fontId="3" type="noConversion"/>
  </si>
  <si>
    <t>* 12/3(수) 산업재해조사표 제출</t>
    <phoneticPr fontId="3" type="noConversion"/>
  </si>
  <si>
    <t xml:space="preserve"> - 노동포털에서 온라인 제출</t>
    <phoneticPr fontId="3" type="noConversion"/>
  </si>
  <si>
    <t xml:space="preserve"> - 11/26(수) 생산부 박인권 사원 산재사고</t>
    <phoneticPr fontId="3" type="noConversion"/>
  </si>
  <si>
    <t xml:space="preserve">* 12/3(수) 1층 사무실 탕비실 수전 교체 </t>
    <phoneticPr fontId="3" type="noConversion"/>
  </si>
  <si>
    <t xml:space="preserve"> - 임시 수전에서 자바라 수전으로 교체 완료</t>
    <phoneticPr fontId="3" type="noConversion"/>
  </si>
  <si>
    <t>박정호 연차</t>
    <phoneticPr fontId="3" type="noConversion"/>
  </si>
  <si>
    <t>* 12/4(목) 아디다스 EMERET 데이터 정리</t>
    <phoneticPr fontId="3" type="noConversion"/>
  </si>
  <si>
    <t xml:space="preserve"> - 임원실1, 2 천장 시스템 에어컨 메인보드 고장으로 교체</t>
    <phoneticPr fontId="3" type="noConversion"/>
  </si>
  <si>
    <t>* 12/4(목) 사무동 에어컨 수리 - 대동시스템</t>
    <phoneticPr fontId="3" type="noConversion"/>
  </si>
  <si>
    <t>박정호 이사, 이동원 대리 연차</t>
    <phoneticPr fontId="3" type="noConversion"/>
  </si>
  <si>
    <t>하지훈, 배강희(SY)</t>
    <phoneticPr fontId="3" type="noConversion"/>
  </si>
  <si>
    <t>이동원 연차</t>
    <phoneticPr fontId="3" type="noConversion"/>
  </si>
  <si>
    <t>황성욱, 최원석(HS), 하경호(HO)
김명수(GJ), 이명자, 김종상(SY), 박상진,
한귀빈, 배주빈</t>
    <phoneticPr fontId="3" type="noConversion"/>
  </si>
  <si>
    <t xml:space="preserve">* 12/4(목) 콤프레샤 관리 </t>
    <phoneticPr fontId="3" type="noConversion"/>
  </si>
  <si>
    <t xml:space="preserve"> - 11월 에너지 사용량 수집</t>
    <phoneticPr fontId="3" type="noConversion"/>
  </si>
  <si>
    <t xml:space="preserve"> - 필터 및 내외부 먼지 제거</t>
    <phoneticPr fontId="3" type="noConversion"/>
  </si>
  <si>
    <t>하지훈 상무 중국 출장(12/7~13)</t>
    <phoneticPr fontId="3" type="noConversion"/>
  </si>
  <si>
    <t>하지훈 중국 출장(12/7~13)</t>
    <phoneticPr fontId="3" type="noConversion"/>
  </si>
  <si>
    <t>배강희(SY), 이동원</t>
    <phoneticPr fontId="3" type="noConversion"/>
  </si>
  <si>
    <t>* 12/5(금) 사무동 현관 자동문 스위치 교체</t>
    <phoneticPr fontId="3" type="noConversion"/>
  </si>
  <si>
    <t xml:space="preserve"> - 기존 스위치 접촉불량으로 새로운 스위치로 교체</t>
    <phoneticPr fontId="3" type="noConversion"/>
  </si>
  <si>
    <t xml:space="preserve">  주간업무 계획(12/8~12/12)</t>
    <phoneticPr fontId="3" type="noConversion"/>
  </si>
  <si>
    <t xml:space="preserve"> - 외교부, 베트남 대사관 인증 완료</t>
    <phoneticPr fontId="3" type="noConversion"/>
  </si>
  <si>
    <t xml:space="preserve"> - VN으로 발송</t>
    <phoneticPr fontId="3" type="noConversion"/>
  </si>
  <si>
    <t>IT 배주빈 사원 퇴사(12/8)</t>
    <phoneticPr fontId="3" type="noConversion"/>
  </si>
  <si>
    <t>* 12/5(금) VN 정신기 과장 경력증명서 인증 서류 수령 및 발송</t>
    <phoneticPr fontId="3" type="noConversion"/>
  </si>
  <si>
    <t xml:space="preserve">* 12/5(금) Higg FEM 세미나 내용정리 </t>
    <phoneticPr fontId="3" type="noConversion"/>
  </si>
  <si>
    <t xml:space="preserve"> - 파트별 핵심 내용정리 후 해외지사 공유</t>
    <phoneticPr fontId="3" type="noConversion"/>
  </si>
  <si>
    <t>박정호, 황성욱, 최원석(HS), 하경호(HO)
김명수(GJ), 이명자, 김종상(SY), 박상진</t>
    <phoneticPr fontId="3" type="noConversion"/>
  </si>
  <si>
    <t>한귀빈 예비군(12/8~11)</t>
    <phoneticPr fontId="3" type="noConversion"/>
  </si>
  <si>
    <t>한귀빈 사원 예비군 훈련(12/8~11)</t>
    <phoneticPr fontId="3" type="noConversion"/>
  </si>
  <si>
    <t>박건우 대리 오후반차</t>
    <phoneticPr fontId="3" type="noConversion"/>
  </si>
  <si>
    <t>박건우 오후반차</t>
    <phoneticPr fontId="3" type="noConversion"/>
  </si>
  <si>
    <t xml:space="preserve"> - 소방펌프 자동, 수동 기동 점검</t>
    <phoneticPr fontId="3" type="noConversion"/>
  </si>
  <si>
    <t xml:space="preserve"> - 수신기 기능점검</t>
    <phoneticPr fontId="3" type="noConversion"/>
  </si>
  <si>
    <t xml:space="preserve"> - 12/10(수) 오전 수거 예정</t>
    <phoneticPr fontId="3" type="noConversion"/>
  </si>
  <si>
    <t>* 12/8(월) 폐기물 수거 일정 확인 - 그린환경산업</t>
    <phoneticPr fontId="3" type="noConversion"/>
  </si>
  <si>
    <t>* 12/8(월) IT 배주빈 사원 퇴사</t>
    <phoneticPr fontId="3" type="noConversion"/>
  </si>
  <si>
    <t xml:space="preserve"> - 12/8(월) 퇴사</t>
    <phoneticPr fontId="3" type="noConversion"/>
  </si>
  <si>
    <t>* 12/8(월) 월 소방점검 - 유일소방</t>
    <phoneticPr fontId="3" type="noConversion"/>
  </si>
  <si>
    <t>* 12/9(화) 굳건병원과 의료협약 체결</t>
    <phoneticPr fontId="3" type="noConversion"/>
  </si>
  <si>
    <t xml:space="preserve"> - 지원사항 및 혜택 사내 게시판 공지</t>
    <phoneticPr fontId="3" type="noConversion"/>
  </si>
  <si>
    <t>이설창 주임 오후반차</t>
    <phoneticPr fontId="3" type="noConversion"/>
  </si>
  <si>
    <t>이설창 오후반차
최철호 육아휴직(2025/9/23~2026/9/22)</t>
    <phoneticPr fontId="3" type="noConversion"/>
  </si>
  <si>
    <t>* 12/9(화) 하반기 대기오염방지시설 자가측정 결과보고서 작성</t>
    <phoneticPr fontId="3" type="noConversion"/>
  </si>
  <si>
    <t xml:space="preserve"> - 11/13, 14 흡착탑, 집진기 자가측정 결과</t>
    <phoneticPr fontId="3" type="noConversion"/>
  </si>
  <si>
    <t xml:space="preserve"> -26년 1월 31일까지 부산진해경제자유구역청에 제출</t>
    <phoneticPr fontId="3" type="noConversion"/>
  </si>
  <si>
    <t xml:space="preserve">* 12/9(화) 콤프레샤 관리 </t>
    <phoneticPr fontId="3" type="noConversion"/>
  </si>
  <si>
    <t xml:space="preserve"> - 에어드라이어 팬 청소</t>
    <phoneticPr fontId="3" type="noConversion"/>
  </si>
  <si>
    <t>배강희(SY), 이동원, 탁현희</t>
    <phoneticPr fontId="3" type="noConversion"/>
  </si>
  <si>
    <t xml:space="preserve">1,638.66	</t>
    <phoneticPr fontId="3" type="noConversion"/>
  </si>
  <si>
    <t xml:space="preserve"> - 인증서 수령 및 게시</t>
    <phoneticPr fontId="3" type="noConversion"/>
  </si>
  <si>
    <t>* 12/10(수) ISO 9001, 14001 심사완료</t>
    <phoneticPr fontId="3" type="noConversion"/>
  </si>
  <si>
    <t xml:space="preserve"> - 심사 결과 확인 및 인증서 수령</t>
    <phoneticPr fontId="3" type="noConversion"/>
  </si>
  <si>
    <t>* 12/10(수) 월 폐기물 수거 - 그린환경산업</t>
    <phoneticPr fontId="3" type="noConversion"/>
  </si>
  <si>
    <t>한부찬 계장 오후반차</t>
    <phoneticPr fontId="3" type="noConversion"/>
  </si>
  <si>
    <t>한부찬 오후반차
최철호 육아휴직(2025/9/23~2026/9/22)</t>
    <phoneticPr fontId="3" type="noConversion"/>
  </si>
  <si>
    <t>* 12/10(수) 아디다스 EMERET 데이터 정리</t>
    <phoneticPr fontId="3" type="noConversion"/>
  </si>
  <si>
    <t xml:space="preserve"> - 11월 폐기물 발생량 수집</t>
    <phoneticPr fontId="3" type="noConversion"/>
  </si>
  <si>
    <t xml:space="preserve">1,392.04	</t>
    <phoneticPr fontId="3" type="noConversion"/>
  </si>
  <si>
    <t>조상현 사원 연차</t>
    <phoneticPr fontId="3" type="noConversion"/>
  </si>
  <si>
    <t>조상현 연차
정순진 휴직</t>
    <phoneticPr fontId="3" type="noConversion"/>
  </si>
  <si>
    <t>박영희, 정동규, 서희근, 이주현</t>
    <phoneticPr fontId="3" type="noConversion"/>
  </si>
  <si>
    <t>박영희, 정동규, 서희근, 이주현, 조상현</t>
    <phoneticPr fontId="3" type="noConversion"/>
  </si>
  <si>
    <t>박정호, 황성욱, 최원석(HS), 하경호(HO)
김명수(GJ), 이명자, 김종상(SY), 박상진,
한귀빈</t>
    <phoneticPr fontId="3" type="noConversion"/>
  </si>
  <si>
    <t>* 12/11(목) 기숙사 301호 화장실 세면대 팝업마개 수리</t>
    <phoneticPr fontId="3" type="noConversion"/>
  </si>
  <si>
    <t>박상진 오후반차</t>
    <phoneticPr fontId="3" type="noConversion"/>
  </si>
  <si>
    <t>박나리 오후반차
이승희 출산휴가(9/14~12/12)</t>
    <phoneticPr fontId="3" type="noConversion"/>
  </si>
  <si>
    <t>* 12/11(목) 탈의실 건조기 청소</t>
    <phoneticPr fontId="3" type="noConversion"/>
  </si>
  <si>
    <t xml:space="preserve"> - 필터 및 통 내부 이물질 제거</t>
    <phoneticPr fontId="3" type="noConversion"/>
  </si>
  <si>
    <t>* 12/11(목) 산업안전보건교육 자료 수집 및 게시물 제작</t>
    <phoneticPr fontId="3" type="noConversion"/>
  </si>
  <si>
    <t xml:space="preserve"> - 끼임사고 예방, 지게차 안전작업 등</t>
    <phoneticPr fontId="3" type="noConversion"/>
  </si>
  <si>
    <t>하지훈, 배강희(SY), 이동원, 탁현희</t>
    <phoneticPr fontId="3" type="noConversion"/>
  </si>
  <si>
    <t>이승희 육아휴직(25/12/13~27/4/12)</t>
    <phoneticPr fontId="3" type="noConversion"/>
  </si>
  <si>
    <t>주현우 과장, 최철호 대리, 이승희 대리 육아휴직</t>
    <phoneticPr fontId="3" type="noConversion"/>
  </si>
  <si>
    <t>박상진 대리, 박나리 주임, 김태은 사원 오후반차</t>
    <phoneticPr fontId="3" type="noConversion"/>
  </si>
  <si>
    <t>김태은 오후반차</t>
    <phoneticPr fontId="3" type="noConversion"/>
  </si>
  <si>
    <t>* 12/12(금) 아디다스 EMERET 데이터 입력</t>
    <phoneticPr fontId="3" type="noConversion"/>
  </si>
  <si>
    <t xml:space="preserve"> - 11월 에너지, 물사용량, 폐기물 발생량 </t>
    <phoneticPr fontId="3" type="noConversion"/>
  </si>
  <si>
    <t>* 12/12(금) 지게차 작업계획서 작성</t>
    <phoneticPr fontId="3" type="noConversion"/>
  </si>
  <si>
    <t xml:space="preserve">  주간업무 계획(12/15~12/19)</t>
    <phoneticPr fontId="3" type="noConversion"/>
  </si>
  <si>
    <t>* 12/12(금) 건강검진 미수검자 확인</t>
    <phoneticPr fontId="3" type="noConversion"/>
  </si>
  <si>
    <t xml:space="preserve"> - 미수검자에게 올해안에 수검 완료해야 한다고 전달함.</t>
    <phoneticPr fontId="3" type="noConversion"/>
  </si>
  <si>
    <t>탁현희
하지훈 중국 출장(12/7~13)</t>
    <phoneticPr fontId="3" type="noConversion"/>
  </si>
  <si>
    <t>* 12/15(월) 해외출장자 지출결의서 작성</t>
    <phoneticPr fontId="3" type="noConversion"/>
  </si>
  <si>
    <t xml:space="preserve"> - 하지훈 상무 중국출장(12/7~13)</t>
    <phoneticPr fontId="3" type="noConversion"/>
  </si>
  <si>
    <t xml:space="preserve">               </t>
    <phoneticPr fontId="3" type="noConversion"/>
  </si>
  <si>
    <t>* 12/15(월) 월 승강기 점검 - 동남엘리베이터</t>
    <phoneticPr fontId="3" type="noConversion"/>
  </si>
  <si>
    <t xml:space="preserve"> - 특이사항 없음</t>
    <phoneticPr fontId="3" type="noConversion"/>
  </si>
  <si>
    <t>* 12/15(월) 하반기 대기오염방지시설 자가측정 결과보고서 작성</t>
    <phoneticPr fontId="3" type="noConversion"/>
  </si>
  <si>
    <t xml:space="preserve"> - 흡착탑 2대, 집진기 2대 자가측정 결과내용</t>
    <phoneticPr fontId="3" type="noConversion"/>
  </si>
  <si>
    <t>하지훈, 배강희(SY), 이동원</t>
    <phoneticPr fontId="3" type="noConversion"/>
  </si>
  <si>
    <t>배강희 주임 연차</t>
    <phoneticPr fontId="3" type="noConversion"/>
  </si>
  <si>
    <t>배강희(SY) 연차</t>
    <phoneticPr fontId="3" type="noConversion"/>
  </si>
  <si>
    <t>하지훈, 이동원</t>
    <phoneticPr fontId="3" type="noConversion"/>
  </si>
  <si>
    <t>* 12/16(화) 사무동 2층 체육시설 설치</t>
    <phoneticPr fontId="3" type="noConversion"/>
  </si>
  <si>
    <t xml:space="preserve"> - 사용 안내 게시물 부착</t>
    <phoneticPr fontId="3" type="noConversion"/>
  </si>
  <si>
    <t>* 12/16(화) 하반기 대기오염방지시설 자가측정 결과보고서 제출</t>
    <phoneticPr fontId="3" type="noConversion"/>
  </si>
  <si>
    <t xml:space="preserve"> - 부산진해경제자유구역청 토지환경과에 메일 발송</t>
    <phoneticPr fontId="3" type="noConversion"/>
  </si>
  <si>
    <t>* 12/16(화) 옥상도 온수보일러 2호기 히터봉 교체</t>
    <phoneticPr fontId="3" type="noConversion"/>
  </si>
  <si>
    <t xml:space="preserve"> - 히터봉 파열되어 공무과에서 교체 완료</t>
    <phoneticPr fontId="3" type="noConversion"/>
  </si>
  <si>
    <t xml:space="preserve"> - 기판 문제로 예상되는데 일시적인 에러인지 아닌지 지속적으로 관찰하기로 함</t>
    <phoneticPr fontId="3" type="noConversion"/>
  </si>
  <si>
    <t>* 12/16(화) 승강기 점검 - 동남엘리베이터</t>
    <phoneticPr fontId="3" type="noConversion"/>
  </si>
  <si>
    <t xml:space="preserve"> - 잠시 멈췄다가 움직이는 현상이 발생해 승강기 관리업체에 점검 요청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</si>
</sst>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[$-F800]dddd\,\ mmmm\ dd\,\ yyyy"/>
    <numFmt numFmtId="177" formatCode="mm&quot;월&quot;\ dd&quot;일&quot;"/>
    <numFmt numFmtId="178" formatCode="m&quot;/&quot;d;@"/>
    <numFmt numFmtId="179" formatCode="#,##0_ "/>
    <numFmt numFmtId="180" formatCode="#\ &quot;호기&quot;"/>
    <numFmt numFmtId="181" formatCode="#,##0\ &quot;℃&quot;"/>
    <numFmt numFmtId="182" formatCode="#,##0.00_ "/>
    <numFmt numFmtId="183" formatCode="[$-412]m\/d\ \(ddd\)"/>
    <numFmt numFmtId="184" formatCode="#,##0\ &quot;원&quot;"/>
  </numFmts>
  <fonts count="20" x14ac:knownFonts="1"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8"/>
      <color indexed="8"/>
      <name val="HY중고딕"/>
      <family val="1"/>
      <charset val="129"/>
    </font>
    <font>
      <sz val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2">
    <xf numFmtId="0" fontId="0" fillId="0" borderId="0" applyNumberFormat="0">
      <alignment vertical="center"/>
    </xf>
    <xf numFmtId="41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0" fontId="1" fillId="0" borderId="0" xfId="0" applyFont="1">
      <alignment vertical="center"/>
    </xf>
    <xf numFmtId="41" fontId="1" fillId="0" borderId="0" xfId="1" applyFont="1">
      <alignment vertical="center"/>
    </xf>
    <xf numFmtId="176" fontId="4" fillId="2" borderId="0" xfId="0" applyNumberFormat="1" applyFont="1" applyFill="1">
      <alignment vertical="center"/>
    </xf>
    <xf numFmtId="0" fontId="4" fillId="0" borderId="0" xfId="0" applyFont="1">
      <alignment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8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0" fontId="9" fillId="2" borderId="0" xfId="0" applyFont="1" applyFill="1" applyAlignment="1">
      <alignment horizontal="left" vertical="center" shrinkToFit="1"/>
    </xf>
    <xf numFmtId="0" fontId="1" fillId="2" borderId="40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40" xfId="0" applyFont="1" applyBorder="1" applyAlignment="1">
      <alignment horizontal="left" vertical="center" shrinkToFit="1"/>
    </xf>
    <xf numFmtId="0" fontId="4" fillId="0" borderId="36" xfId="0" applyFont="1" applyBorder="1" applyAlignment="1">
      <alignment horizontal="left" vertical="center" shrinkToFit="1"/>
    </xf>
    <xf numFmtId="0" fontId="4" fillId="0" borderId="18" xfId="0" applyFont="1" applyBorder="1" applyAlignment="1">
      <alignment horizontal="left" vertical="center" shrinkToFit="1"/>
    </xf>
    <xf numFmtId="0" fontId="4" fillId="0" borderId="19" xfId="0" applyFont="1" applyBorder="1" applyAlignment="1">
      <alignment horizontal="left" vertical="center" shrinkToFit="1"/>
    </xf>
    <xf numFmtId="0" fontId="4" fillId="0" borderId="18" xfId="0" applyFont="1" applyBorder="1">
      <alignment vertical="center"/>
    </xf>
    <xf numFmtId="0" fontId="0" fillId="0" borderId="32" xfId="0" applyBorder="1">
      <alignment vertical="center"/>
    </xf>
    <xf numFmtId="0" fontId="0" fillId="0" borderId="40" xfId="0" applyBorder="1">
      <alignment vertical="center"/>
    </xf>
    <xf numFmtId="0" fontId="1" fillId="0" borderId="40" xfId="0" applyFont="1" applyBorder="1">
      <alignment vertical="center"/>
    </xf>
    <xf numFmtId="0" fontId="1" fillId="0" borderId="36" xfId="0" applyFont="1" applyBorder="1">
      <alignment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77" fontId="0" fillId="0" borderId="41" xfId="0" applyNumberFormat="1" applyBorder="1" applyAlignment="1">
      <alignment horizontal="left" vertical="center"/>
    </xf>
    <xf numFmtId="177" fontId="0" fillId="0" borderId="38" xfId="0" applyNumberForma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8" xfId="0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3" fontId="8" fillId="2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41" fontId="0" fillId="2" borderId="0" xfId="1" applyFont="1" applyFill="1" applyBorder="1" applyAlignment="1">
      <alignment horizontal="center" vertical="center"/>
    </xf>
    <xf numFmtId="177" fontId="0" fillId="0" borderId="32" xfId="0" applyNumberForma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wrapText="1" shrinkToFit="1"/>
    </xf>
    <xf numFmtId="0" fontId="1" fillId="2" borderId="28" xfId="0" applyFont="1" applyFill="1" applyBorder="1" applyAlignment="1">
      <alignment horizontal="center" vertical="center" wrapText="1" shrinkToFit="1"/>
    </xf>
    <xf numFmtId="177" fontId="0" fillId="0" borderId="0" xfId="0" applyNumberFormat="1" applyAlignment="1">
      <alignment horizontal="left" vertical="center"/>
    </xf>
    <xf numFmtId="0" fontId="1" fillId="2" borderId="44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44" xfId="0" applyFont="1" applyFill="1" applyBorder="1" applyAlignment="1">
      <alignment horizontal="center" vertical="center" wrapText="1" shrinkToFit="1"/>
    </xf>
    <xf numFmtId="0" fontId="1" fillId="2" borderId="45" xfId="0" applyFont="1" applyFill="1" applyBorder="1" applyAlignment="1">
      <alignment horizontal="center" vertical="center" wrapText="1" shrinkToFit="1"/>
    </xf>
    <xf numFmtId="0" fontId="7" fillId="0" borderId="46" xfId="0" applyFont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5" borderId="0" xfId="0" applyFont="1" applyFill="1">
      <alignment vertical="center"/>
    </xf>
    <xf numFmtId="0" fontId="4" fillId="0" borderId="40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 shrinkToFit="1"/>
    </xf>
    <xf numFmtId="0" fontId="1" fillId="0" borderId="20" xfId="0" applyFont="1" applyBorder="1" applyAlignment="1">
      <alignment horizontal="left" vertical="center" inden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31" xfId="0" applyBorder="1" applyAlignment="1">
      <alignment horizontal="center" vertical="center" shrinkToFit="1"/>
    </xf>
    <xf numFmtId="180" fontId="1" fillId="0" borderId="17" xfId="0" applyNumberFormat="1" applyFont="1" applyBorder="1" applyAlignment="1">
      <alignment horizontal="center" vertical="center"/>
    </xf>
    <xf numFmtId="180" fontId="1" fillId="0" borderId="15" xfId="0" applyNumberFormat="1" applyFont="1" applyBorder="1" applyAlignment="1">
      <alignment horizontal="center" vertical="center"/>
    </xf>
    <xf numFmtId="180" fontId="1" fillId="0" borderId="16" xfId="0" applyNumberFormat="1" applyFont="1" applyBorder="1" applyAlignment="1">
      <alignment horizontal="center" vertical="center"/>
    </xf>
    <xf numFmtId="181" fontId="1" fillId="0" borderId="17" xfId="0" applyNumberFormat="1" applyFont="1" applyBorder="1" applyAlignment="1">
      <alignment horizontal="center" vertical="center"/>
    </xf>
    <xf numFmtId="181" fontId="1" fillId="0" borderId="15" xfId="0" applyNumberFormat="1" applyFont="1" applyBorder="1" applyAlignment="1">
      <alignment horizontal="center" vertical="center"/>
    </xf>
    <xf numFmtId="181" fontId="1" fillId="0" borderId="16" xfId="0" applyNumberFormat="1" applyFont="1" applyBorder="1" applyAlignment="1">
      <alignment horizontal="center" vertical="center"/>
    </xf>
    <xf numFmtId="179" fontId="1" fillId="0" borderId="17" xfId="1" applyNumberFormat="1" applyFont="1" applyBorder="1" applyAlignment="1">
      <alignment horizontal="center" vertical="center"/>
    </xf>
    <xf numFmtId="179" fontId="1" fillId="0" borderId="15" xfId="1" applyNumberFormat="1" applyFont="1" applyBorder="1" applyAlignment="1">
      <alignment horizontal="center" vertical="center"/>
    </xf>
    <xf numFmtId="179" fontId="1" fillId="0" borderId="16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83" fontId="8" fillId="2" borderId="21" xfId="0" applyNumberFormat="1" applyFont="1" applyFill="1" applyBorder="1" applyAlignment="1">
      <alignment horizontal="center" vertical="center"/>
    </xf>
    <xf numFmtId="183" fontId="8" fillId="2" borderId="20" xfId="0" applyNumberFormat="1" applyFont="1" applyFill="1" applyBorder="1" applyAlignment="1">
      <alignment horizontal="center" vertical="center"/>
    </xf>
    <xf numFmtId="183" fontId="8" fillId="2" borderId="22" xfId="0" applyNumberFormat="1" applyFont="1" applyFill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179" fontId="0" fillId="0" borderId="20" xfId="0" applyNumberForma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  <xf numFmtId="184" fontId="0" fillId="2" borderId="23" xfId="1" applyNumberFormat="1" applyFont="1" applyFill="1" applyBorder="1" applyAlignment="1">
      <alignment horizontal="center" vertical="center"/>
    </xf>
    <xf numFmtId="184" fontId="0" fillId="2" borderId="20" xfId="1" applyNumberFormat="1" applyFont="1" applyFill="1" applyBorder="1" applyAlignment="1">
      <alignment horizontal="center" vertical="center"/>
    </xf>
    <xf numFmtId="184" fontId="0" fillId="2" borderId="24" xfId="1" applyNumberFormat="1" applyFont="1" applyFill="1" applyBorder="1" applyAlignment="1">
      <alignment horizontal="center" vertical="center"/>
    </xf>
    <xf numFmtId="41" fontId="0" fillId="2" borderId="43" xfId="1" applyFont="1" applyFill="1" applyBorder="1" applyAlignment="1">
      <alignment horizontal="center" vertical="center"/>
    </xf>
    <xf numFmtId="41" fontId="0" fillId="2" borderId="18" xfId="1" applyFont="1" applyFill="1" applyBorder="1" applyAlignment="1">
      <alignment horizontal="center" vertical="center"/>
    </xf>
    <xf numFmtId="41" fontId="0" fillId="2" borderId="39" xfId="1" applyFont="1" applyFill="1" applyBorder="1" applyAlignment="1">
      <alignment horizontal="center" vertical="center"/>
    </xf>
    <xf numFmtId="41" fontId="0" fillId="2" borderId="19" xfId="1" applyFont="1" applyFill="1" applyBorder="1" applyAlignment="1">
      <alignment horizontal="center" vertical="center"/>
    </xf>
    <xf numFmtId="183" fontId="8" fillId="2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41" fontId="0" fillId="2" borderId="0" xfId="1" applyFont="1" applyFill="1" applyBorder="1" applyAlignment="1">
      <alignment horizontal="center" vertical="center"/>
    </xf>
    <xf numFmtId="183" fontId="8" fillId="2" borderId="38" xfId="0" applyNumberFormat="1" applyFont="1" applyFill="1" applyBorder="1" applyAlignment="1">
      <alignment horizontal="center" vertical="center"/>
    </xf>
    <xf numFmtId="183" fontId="8" fillId="2" borderId="39" xfId="0" applyNumberFormat="1" applyFont="1" applyFill="1" applyBorder="1" applyAlignment="1">
      <alignment horizontal="center" vertical="center"/>
    </xf>
    <xf numFmtId="179" fontId="0" fillId="0" borderId="43" xfId="0" applyNumberFormat="1" applyBorder="1" applyAlignment="1">
      <alignment horizontal="right" vertical="center"/>
    </xf>
    <xf numFmtId="179" fontId="0" fillId="0" borderId="18" xfId="0" applyNumberFormat="1" applyBorder="1" applyAlignment="1">
      <alignment horizontal="right" vertical="center"/>
    </xf>
    <xf numFmtId="179" fontId="0" fillId="0" borderId="39" xfId="0" applyNumberFormat="1" applyBorder="1" applyAlignment="1">
      <alignment horizontal="right" vertical="center"/>
    </xf>
    <xf numFmtId="179" fontId="0" fillId="0" borderId="51" xfId="0" applyNumberFormat="1" applyBorder="1" applyAlignment="1">
      <alignment horizontal="right" vertical="center"/>
    </xf>
    <xf numFmtId="179" fontId="0" fillId="0" borderId="52" xfId="0" applyNumberFormat="1" applyBorder="1" applyAlignment="1">
      <alignment horizontal="right"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82" fontId="1" fillId="0" borderId="17" xfId="0" applyNumberFormat="1" applyFont="1" applyBorder="1" applyAlignment="1">
      <alignment horizontal="right" vertical="center"/>
    </xf>
    <xf numFmtId="182" fontId="1" fillId="0" borderId="15" xfId="0" applyNumberFormat="1" applyFont="1" applyBorder="1" applyAlignment="1">
      <alignment horizontal="right" vertical="center"/>
    </xf>
    <xf numFmtId="182" fontId="1" fillId="0" borderId="16" xfId="0" applyNumberFormat="1" applyFont="1" applyBorder="1" applyAlignment="1">
      <alignment horizontal="right"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79" fontId="1" fillId="0" borderId="17" xfId="0" applyNumberFormat="1" applyFont="1" applyBorder="1" applyAlignment="1">
      <alignment horizontal="right" vertical="center"/>
    </xf>
    <xf numFmtId="179" fontId="1" fillId="0" borderId="15" xfId="0" applyNumberFormat="1" applyFont="1" applyBorder="1" applyAlignment="1">
      <alignment horizontal="right" vertical="center"/>
    </xf>
    <xf numFmtId="179" fontId="1" fillId="0" borderId="16" xfId="0" applyNumberFormat="1" applyFont="1" applyBorder="1" applyAlignment="1">
      <alignment horizontal="right" vertical="center"/>
    </xf>
    <xf numFmtId="0" fontId="10" fillId="0" borderId="17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9" fontId="1" fillId="0" borderId="9" xfId="0" applyNumberFormat="1" applyFont="1" applyBorder="1" applyAlignment="1">
      <alignment horizontal="right" vertical="center"/>
    </xf>
    <xf numFmtId="179" fontId="1" fillId="0" borderId="10" xfId="0" applyNumberFormat="1" applyFont="1" applyBorder="1" applyAlignment="1">
      <alignment horizontal="right" vertical="center"/>
    </xf>
    <xf numFmtId="179" fontId="1" fillId="0" borderId="13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 shrinkToFit="1"/>
    </xf>
    <xf numFmtId="0" fontId="1" fillId="2" borderId="36" xfId="0" applyFont="1" applyFill="1" applyBorder="1" applyAlignment="1">
      <alignment horizontal="center" vertical="center" wrapText="1" shrinkToFit="1"/>
    </xf>
    <xf numFmtId="0" fontId="1" fillId="2" borderId="26" xfId="0" applyFont="1" applyFill="1" applyBorder="1" applyAlignment="1">
      <alignment horizontal="center" vertical="center" wrapText="1" shrinkToFit="1"/>
    </xf>
    <xf numFmtId="0" fontId="1" fillId="2" borderId="37" xfId="0" applyFont="1" applyFill="1" applyBorder="1" applyAlignment="1">
      <alignment horizontal="center" vertical="center" wrapText="1" shrinkToFit="1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178" fontId="8" fillId="2" borderId="9" xfId="0" applyNumberFormat="1" applyFont="1" applyFill="1" applyBorder="1" applyAlignment="1">
      <alignment horizontal="center" vertical="center"/>
    </xf>
    <xf numFmtId="178" fontId="8" fillId="2" borderId="13" xfId="0" applyNumberFormat="1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178" fontId="8" fillId="2" borderId="43" xfId="0" applyNumberFormat="1" applyFont="1" applyFill="1" applyBorder="1" applyAlignment="1">
      <alignment horizontal="center" vertical="center"/>
    </xf>
    <xf numFmtId="178" fontId="8" fillId="2" borderId="39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77" fontId="1" fillId="2" borderId="34" xfId="0" applyNumberFormat="1" applyFont="1" applyFill="1" applyBorder="1" applyAlignment="1">
      <alignment horizontal="center" vertical="center"/>
    </xf>
    <xf numFmtId="177" fontId="1" fillId="2" borderId="33" xfId="0" applyNumberFormat="1" applyFont="1" applyFill="1" applyBorder="1" applyAlignment="1">
      <alignment horizontal="center" vertical="center"/>
    </xf>
    <xf numFmtId="177" fontId="1" fillId="2" borderId="26" xfId="0" applyNumberFormat="1" applyFont="1" applyFill="1" applyBorder="1" applyAlignment="1">
      <alignment horizontal="center" vertical="center"/>
    </xf>
    <xf numFmtId="177" fontId="1" fillId="2" borderId="27" xfId="0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 shrinkToFit="1"/>
    </xf>
    <xf numFmtId="0" fontId="1" fillId="2" borderId="26" xfId="0" applyFont="1" applyFill="1" applyBorder="1" applyAlignment="1">
      <alignment horizontal="center" vertical="center" shrinkToFit="1"/>
    </xf>
    <xf numFmtId="0" fontId="1" fillId="2" borderId="27" xfId="0" applyFont="1" applyFill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0" fillId="2" borderId="23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center" vertical="center" shrinkToFit="1"/>
    </xf>
    <xf numFmtId="0" fontId="0" fillId="2" borderId="22" xfId="0" applyFill="1" applyBorder="1" applyAlignment="1">
      <alignment horizontal="center" vertical="center" shrinkToFit="1"/>
    </xf>
    <xf numFmtId="0" fontId="1" fillId="2" borderId="23" xfId="0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shrinkToFit="1"/>
    </xf>
    <xf numFmtId="0" fontId="17" fillId="2" borderId="10" xfId="0" applyFont="1" applyFill="1" applyBorder="1" applyAlignment="1">
      <alignment horizontal="left" vertical="center" shrinkToFit="1"/>
    </xf>
    <xf numFmtId="0" fontId="17" fillId="2" borderId="11" xfId="0" applyFont="1" applyFill="1" applyBorder="1" applyAlignment="1">
      <alignment horizontal="left" vertical="center" shrinkToFit="1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4" fillId="2" borderId="0" xfId="0" applyNumberFormat="1" applyFont="1" applyFill="1" applyAlignment="1">
      <alignment horizontal="right" vertical="center"/>
    </xf>
    <xf numFmtId="183" fontId="8" fillId="2" borderId="41" xfId="0" applyNumberFormat="1" applyFont="1" applyFill="1" applyBorder="1" applyAlignment="1">
      <alignment horizontal="center" vertical="center"/>
    </xf>
    <xf numFmtId="183" fontId="8" fillId="2" borderId="55" xfId="0" applyNumberFormat="1" applyFont="1" applyFill="1" applyBorder="1" applyAlignment="1">
      <alignment horizontal="center" vertical="center"/>
    </xf>
    <xf numFmtId="179" fontId="0" fillId="0" borderId="56" xfId="0" applyNumberFormat="1" applyBorder="1" applyAlignment="1">
      <alignment horizontal="right" vertical="center"/>
    </xf>
    <xf numFmtId="179" fontId="0" fillId="0" borderId="55" xfId="0" applyNumberFormat="1" applyBorder="1" applyAlignment="1">
      <alignment horizontal="right" vertical="center"/>
    </xf>
    <xf numFmtId="179" fontId="0" fillId="0" borderId="57" xfId="0" applyNumberFormat="1" applyBorder="1" applyAlignment="1">
      <alignment horizontal="right" vertical="center"/>
    </xf>
    <xf numFmtId="179" fontId="0" fillId="0" borderId="58" xfId="0" applyNumberFormat="1" applyBorder="1" applyAlignment="1">
      <alignment horizontal="right" vertical="center"/>
    </xf>
    <xf numFmtId="41" fontId="0" fillId="2" borderId="56" xfId="1" applyFont="1" applyFill="1" applyBorder="1" applyAlignment="1">
      <alignment horizontal="center" vertical="center"/>
    </xf>
    <xf numFmtId="41" fontId="0" fillId="2" borderId="55" xfId="1" applyFont="1" applyFill="1" applyBorder="1" applyAlignment="1">
      <alignment horizontal="center" vertical="center"/>
    </xf>
    <xf numFmtId="41" fontId="0" fillId="2" borderId="42" xfId="1" applyFont="1" applyFill="1" applyBorder="1" applyAlignment="1">
      <alignment horizontal="center" vertical="center"/>
    </xf>
    <xf numFmtId="183" fontId="8" fillId="2" borderId="12" xfId="0" applyNumberFormat="1" applyFont="1" applyFill="1" applyBorder="1" applyAlignment="1">
      <alignment horizontal="center" vertical="center"/>
    </xf>
    <xf numFmtId="183" fontId="8" fillId="2" borderId="13" xfId="0" applyNumberFormat="1" applyFont="1" applyFill="1" applyBorder="1" applyAlignment="1">
      <alignment horizontal="center" vertical="center"/>
    </xf>
    <xf numFmtId="179" fontId="0" fillId="0" borderId="9" xfId="0" applyNumberFormat="1" applyBorder="1" applyAlignment="1">
      <alignment horizontal="right" vertical="center"/>
    </xf>
    <xf numFmtId="179" fontId="0" fillId="0" borderId="10" xfId="0" applyNumberFormat="1" applyBorder="1" applyAlignment="1">
      <alignment horizontal="right" vertical="center"/>
    </xf>
    <xf numFmtId="179" fontId="0" fillId="0" borderId="13" xfId="0" applyNumberFormat="1" applyBorder="1" applyAlignment="1">
      <alignment horizontal="right" vertical="center"/>
    </xf>
    <xf numFmtId="179" fontId="0" fillId="0" borderId="53" xfId="0" applyNumberFormat="1" applyBorder="1" applyAlignment="1">
      <alignment horizontal="right" vertical="center"/>
    </xf>
    <xf numFmtId="179" fontId="0" fillId="0" borderId="54" xfId="0" applyNumberFormat="1" applyBorder="1" applyAlignment="1">
      <alignment horizontal="right" vertical="center"/>
    </xf>
    <xf numFmtId="41" fontId="0" fillId="2" borderId="9" xfId="1" applyFont="1" applyFill="1" applyBorder="1" applyAlignment="1">
      <alignment horizontal="center" vertical="center"/>
    </xf>
    <xf numFmtId="41" fontId="0" fillId="2" borderId="10" xfId="1" applyFont="1" applyFill="1" applyBorder="1" applyAlignment="1">
      <alignment horizontal="center" vertical="center"/>
    </xf>
    <xf numFmtId="41" fontId="0" fillId="2" borderId="13" xfId="1" applyFont="1" applyFill="1" applyBorder="1" applyAlignment="1">
      <alignment horizontal="center" vertical="center"/>
    </xf>
    <xf numFmtId="41" fontId="0" fillId="2" borderId="1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E38ECA-618F-4493-A3D0-77B69F5E4C65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E67D54-9747-4011-B96E-56D0E9880BF3}"/>
            </a:ext>
          </a:extLst>
        </xdr:cNvPr>
        <xdr:cNvSpPr txBox="1"/>
      </xdr:nvSpPr>
      <xdr:spPr>
        <a:xfrm>
          <a:off x="5891212" y="1524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63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B5785B-E633-424B-B223-675B022E579E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E1050D-8674-4FC1-A03D-06C73CF258EB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1AAE50-6E3D-4AE5-A11C-76D18B3DF335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8E0E7C-3F4F-4C5B-BCEC-C171851AA4C4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980C6E-11B1-404B-B8DC-F571390B5A94}"/>
            </a:ext>
          </a:extLst>
        </xdr:cNvPr>
        <xdr:cNvSpPr txBox="1"/>
      </xdr:nvSpPr>
      <xdr:spPr>
        <a:xfrm>
          <a:off x="5891212" y="1524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63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64E83F-7252-49AA-BD18-170842E53AC6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7D85DB-3F2E-4FC7-A706-ED79B22FC2A0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6555A2-6FA5-4414-B608-0358DB1A111A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A3AA21-C1DD-4026-BE49-77070D43DB65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61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3C14B5-5E4B-4E8E-9235-0D71AC5A32B9}"/>
            </a:ext>
          </a:extLst>
        </xdr:cNvPr>
        <xdr:cNvSpPr txBox="1"/>
      </xdr:nvSpPr>
      <xdr:spPr>
        <a:xfrm>
          <a:off x="5891212" y="15240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452437</xdr:colOff>
      <xdr:row>63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D8D66F-B975-4845-A107-DDFF202E889C}"/>
            </a:ext>
          </a:extLst>
        </xdr:cNvPr>
        <xdr:cNvSpPr txBox="1"/>
      </xdr:nvSpPr>
      <xdr:spPr>
        <a:xfrm>
          <a:off x="5891212" y="1485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CC88-DF64-4C7C-8F7E-C2A82508C1CA}">
  <dimension ref="A1:AI82"/>
  <sheetViews>
    <sheetView showGridLines="0" tabSelected="1" zoomScaleNormal="100" zoomScaleSheetLayoutView="100" workbookViewId="0">
      <selection activeCell="AC4" sqref="AC4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46008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228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15</v>
      </c>
      <c r="G8" s="236"/>
      <c r="H8" s="235">
        <f>SUM(H22:I27)</f>
        <v>14</v>
      </c>
      <c r="I8" s="236"/>
      <c r="J8" s="235">
        <f>SUM(J22:K27)</f>
        <v>0</v>
      </c>
      <c r="K8" s="236"/>
      <c r="L8" s="235">
        <f>SUM(L22:M27)</f>
        <v>1</v>
      </c>
      <c r="M8" s="236"/>
      <c r="N8" s="284" t="s">
        <v>246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41</v>
      </c>
      <c r="G10" s="236"/>
      <c r="H10" s="235">
        <f>SUM(H7:I9)</f>
        <v>35</v>
      </c>
      <c r="I10" s="236"/>
      <c r="J10" s="235">
        <f>SUM(J7:K9)</f>
        <v>1</v>
      </c>
      <c r="K10" s="236"/>
      <c r="L10" s="235">
        <f>SUM(L7:M9)</f>
        <v>4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104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217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5</v>
      </c>
      <c r="I25" s="174"/>
      <c r="J25" s="175">
        <v>0</v>
      </c>
      <c r="K25" s="174"/>
      <c r="L25" s="235">
        <v>0</v>
      </c>
      <c r="M25" s="236"/>
      <c r="N25" s="237" t="s">
        <v>218</v>
      </c>
      <c r="O25" s="238"/>
      <c r="P25" s="238"/>
      <c r="Q25" s="238"/>
      <c r="R25" s="238"/>
      <c r="S25" s="238"/>
      <c r="T25" s="238"/>
      <c r="U25" s="239"/>
      <c r="V25" s="243"/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2</v>
      </c>
      <c r="I26" s="174"/>
      <c r="J26" s="175">
        <v>0</v>
      </c>
      <c r="K26" s="174"/>
      <c r="L26" s="235">
        <v>0</v>
      </c>
      <c r="M26" s="236"/>
      <c r="N26" s="237" t="s">
        <v>248</v>
      </c>
      <c r="O26" s="238"/>
      <c r="P26" s="238"/>
      <c r="Q26" s="238"/>
      <c r="R26" s="238"/>
      <c r="S26" s="238"/>
      <c r="T26" s="238"/>
      <c r="U26" s="239"/>
      <c r="V26" s="240" t="s">
        <v>247</v>
      </c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227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239714</v>
      </c>
      <c r="G40" s="177"/>
      <c r="H40" s="177"/>
      <c r="I40" s="178"/>
      <c r="J40" s="176">
        <v>239949</v>
      </c>
      <c r="K40" s="177"/>
      <c r="L40" s="177"/>
      <c r="M40" s="178"/>
      <c r="N40" s="176">
        <f>J40-F40</f>
        <v>235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8179</v>
      </c>
      <c r="G41" s="168"/>
      <c r="H41" s="168"/>
      <c r="I41" s="169"/>
      <c r="J41" s="167">
        <v>8186</v>
      </c>
      <c r="K41" s="168"/>
      <c r="L41" s="168"/>
      <c r="M41" s="169"/>
      <c r="N41" s="167">
        <f>J41-F41</f>
        <v>7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2492.0300000000002</v>
      </c>
      <c r="G45" s="162"/>
      <c r="H45" s="162"/>
      <c r="I45" s="163"/>
      <c r="J45" s="161">
        <v>25561.27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46007</v>
      </c>
      <c r="C49" s="143"/>
      <c r="D49" s="144">
        <v>314</v>
      </c>
      <c r="E49" s="145"/>
      <c r="F49" s="145"/>
      <c r="G49" s="146"/>
      <c r="H49" s="144">
        <v>838</v>
      </c>
      <c r="I49" s="145"/>
      <c r="J49" s="145"/>
      <c r="K49" s="146"/>
      <c r="L49" s="144">
        <f>D49+H49</f>
        <v>1152</v>
      </c>
      <c r="M49" s="145"/>
      <c r="N49" s="146"/>
      <c r="O49" s="144">
        <v>20949</v>
      </c>
      <c r="P49" s="145"/>
      <c r="Q49" s="145"/>
      <c r="R49" s="147"/>
      <c r="S49" s="148">
        <v>798</v>
      </c>
      <c r="T49" s="145"/>
      <c r="U49" s="146"/>
      <c r="V49" s="135">
        <v>14883</v>
      </c>
      <c r="W49" s="136"/>
      <c r="X49" s="136"/>
      <c r="Y49" s="137"/>
      <c r="Z49" s="135">
        <f>AF48+V49</f>
        <v>578143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72453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1</v>
      </c>
      <c r="E56" s="117"/>
      <c r="F56" s="117"/>
      <c r="G56" s="117"/>
      <c r="H56" s="117"/>
      <c r="I56" s="118"/>
      <c r="J56" s="119">
        <v>90</v>
      </c>
      <c r="K56" s="120"/>
      <c r="L56" s="120"/>
      <c r="M56" s="121"/>
      <c r="N56" s="122">
        <v>33649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  <c r="AC56" s="1" t="s">
        <v>240</v>
      </c>
      <c r="AF56" s="2">
        <v>33917</v>
      </c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249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250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 t="s">
        <v>251</v>
      </c>
      <c r="C64" s="67"/>
      <c r="D64" s="67"/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252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256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x14ac:dyDescent="0.3">
      <c r="B67" s="61"/>
      <c r="C67" s="67"/>
      <c r="D67" s="67" t="s">
        <v>257</v>
      </c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D67" s="67"/>
      <c r="AE67" s="67"/>
      <c r="AF67" s="67"/>
      <c r="AG67" s="66"/>
    </row>
    <row r="68" spans="1:33" ht="15" customHeight="1" x14ac:dyDescent="0.3">
      <c r="B68" s="61"/>
      <c r="C68" s="67"/>
      <c r="D68" s="67" t="s">
        <v>255</v>
      </c>
      <c r="E68" s="67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38"/>
      <c r="AC68" s="77"/>
      <c r="AD68" s="67"/>
      <c r="AE68" s="67"/>
      <c r="AF68" s="67"/>
      <c r="AG68" s="66"/>
    </row>
    <row r="69" spans="1:33" ht="15" customHeight="1" x14ac:dyDescent="0.3">
      <c r="B69" s="61" t="s">
        <v>253</v>
      </c>
      <c r="C69" s="67"/>
      <c r="D69" s="67"/>
      <c r="E69" s="67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38"/>
      <c r="AC69" s="77"/>
      <c r="AD69" s="67"/>
      <c r="AE69" s="67"/>
      <c r="AF69" s="67"/>
      <c r="AG69" s="66"/>
    </row>
    <row r="70" spans="1:33" ht="15" customHeight="1" thickBot="1" x14ac:dyDescent="0.35">
      <c r="B70" s="62"/>
      <c r="C70" s="41"/>
      <c r="D70" s="41" t="s">
        <v>254</v>
      </c>
      <c r="E70" s="41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2"/>
      <c r="AC70" s="77"/>
      <c r="AE70" s="67"/>
      <c r="AF70" s="67"/>
      <c r="AG70" s="66"/>
    </row>
    <row r="71" spans="1:33" ht="15" customHeight="1" x14ac:dyDescent="0.3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43"/>
      <c r="AE71"/>
    </row>
    <row r="72" spans="1:33" ht="15" customHeight="1" thickBot="1" x14ac:dyDescent="0.35">
      <c r="B72" s="93" t="s">
        <v>98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</row>
    <row r="73" spans="1:33" ht="14.25" customHeight="1" x14ac:dyDescent="0.3">
      <c r="B73" s="35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5"/>
    </row>
    <row r="74" spans="1:33" ht="14.25" customHeight="1" thickBot="1" x14ac:dyDescent="0.35">
      <c r="B74" s="39"/>
      <c r="C74" s="40"/>
      <c r="D74" s="41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7"/>
    </row>
    <row r="75" spans="1:33" ht="14.25" customHeight="1" x14ac:dyDescent="0.3">
      <c r="B75" s="37"/>
      <c r="C75" s="36"/>
      <c r="D75" s="37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33" ht="15" customHeight="1" thickBot="1" x14ac:dyDescent="0.35">
      <c r="B76" s="48" t="s">
        <v>63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33" ht="15" customHeight="1" x14ac:dyDescent="0.3">
      <c r="B77" s="49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2"/>
    </row>
    <row r="78" spans="1:33" ht="15" customHeight="1" thickBot="1" x14ac:dyDescent="0.35">
      <c r="B78" s="39"/>
      <c r="C78" s="41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4"/>
    </row>
    <row r="80" spans="1:33" ht="18" thickBot="1" x14ac:dyDescent="0.35">
      <c r="B80" s="4" t="s">
        <v>234</v>
      </c>
    </row>
    <row r="81" spans="2:27" x14ac:dyDescent="0.3">
      <c r="B81" s="35"/>
      <c r="C81" s="37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6"/>
    </row>
    <row r="82" spans="2:27" ht="17.25" thickBot="1" x14ac:dyDescent="0.35">
      <c r="B82" s="39"/>
      <c r="C82" s="41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8"/>
    </row>
  </sheetData>
  <mergeCells count="233">
    <mergeCell ref="B1:AA3"/>
    <mergeCell ref="B4:Q4"/>
    <mergeCell ref="V4:AA4"/>
    <mergeCell ref="B6:E6"/>
    <mergeCell ref="F6:G6"/>
    <mergeCell ref="H6:I6"/>
    <mergeCell ref="J6:K6"/>
    <mergeCell ref="L6:M6"/>
    <mergeCell ref="N6:AA6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60:AA60"/>
    <mergeCell ref="B61:AA61"/>
    <mergeCell ref="A71:Z71"/>
    <mergeCell ref="B72:AA72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E354-1F9A-486C-A279-F315FA9F1272}">
  <dimension ref="A1:AI79"/>
  <sheetViews>
    <sheetView showGridLines="0" topLeftCell="A42" zoomScaleNormal="100" zoomScaleSheetLayoutView="100" workbookViewId="0">
      <selection activeCell="B64" sqref="B64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46007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228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15</v>
      </c>
      <c r="G8" s="236"/>
      <c r="H8" s="235">
        <f>SUM(H22:I27)</f>
        <v>14</v>
      </c>
      <c r="I8" s="236"/>
      <c r="J8" s="235">
        <f>SUM(J22:K27)</f>
        <v>0</v>
      </c>
      <c r="K8" s="236"/>
      <c r="L8" s="235">
        <f>SUM(L22:M27)</f>
        <v>1</v>
      </c>
      <c r="M8" s="236"/>
      <c r="N8" s="284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41</v>
      </c>
      <c r="G10" s="236"/>
      <c r="H10" s="235">
        <f>SUM(H7:I9)</f>
        <v>35</v>
      </c>
      <c r="I10" s="236"/>
      <c r="J10" s="235">
        <f>SUM(J7:K9)</f>
        <v>1</v>
      </c>
      <c r="K10" s="236"/>
      <c r="L10" s="235">
        <f>SUM(L7:M9)</f>
        <v>4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129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217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5</v>
      </c>
      <c r="I25" s="174"/>
      <c r="J25" s="175">
        <v>0</v>
      </c>
      <c r="K25" s="174"/>
      <c r="L25" s="235">
        <v>0</v>
      </c>
      <c r="M25" s="236"/>
      <c r="N25" s="237" t="s">
        <v>218</v>
      </c>
      <c r="O25" s="238"/>
      <c r="P25" s="238"/>
      <c r="Q25" s="238"/>
      <c r="R25" s="238"/>
      <c r="S25" s="238"/>
      <c r="T25" s="238"/>
      <c r="U25" s="239"/>
      <c r="V25" s="243"/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2</v>
      </c>
      <c r="I26" s="174"/>
      <c r="J26" s="175">
        <v>0</v>
      </c>
      <c r="K26" s="174"/>
      <c r="L26" s="235">
        <v>0</v>
      </c>
      <c r="M26" s="236"/>
      <c r="N26" s="237" t="s">
        <v>245</v>
      </c>
      <c r="O26" s="238"/>
      <c r="P26" s="238"/>
      <c r="Q26" s="238"/>
      <c r="R26" s="238"/>
      <c r="S26" s="238"/>
      <c r="T26" s="238"/>
      <c r="U26" s="239"/>
      <c r="V26" s="240"/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227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239043</v>
      </c>
      <c r="G40" s="177"/>
      <c r="H40" s="177"/>
      <c r="I40" s="178"/>
      <c r="J40" s="176">
        <v>239714</v>
      </c>
      <c r="K40" s="177"/>
      <c r="L40" s="177"/>
      <c r="M40" s="178"/>
      <c r="N40" s="176">
        <f>J40-F40</f>
        <v>671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8169.7</v>
      </c>
      <c r="G41" s="168"/>
      <c r="H41" s="168"/>
      <c r="I41" s="169"/>
      <c r="J41" s="167">
        <v>8179</v>
      </c>
      <c r="K41" s="168"/>
      <c r="L41" s="168"/>
      <c r="M41" s="169"/>
      <c r="N41" s="167">
        <f>J41-F41</f>
        <v>9.3000000000001819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1751.99</v>
      </c>
      <c r="G45" s="162"/>
      <c r="H45" s="162"/>
      <c r="I45" s="163"/>
      <c r="J45" s="161">
        <v>23069.25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46006</v>
      </c>
      <c r="C49" s="143"/>
      <c r="D49" s="144">
        <v>416</v>
      </c>
      <c r="E49" s="145"/>
      <c r="F49" s="145"/>
      <c r="G49" s="146"/>
      <c r="H49" s="144">
        <v>1043</v>
      </c>
      <c r="I49" s="145"/>
      <c r="J49" s="145"/>
      <c r="K49" s="146"/>
      <c r="L49" s="144">
        <f>D49+H49</f>
        <v>1459</v>
      </c>
      <c r="M49" s="145"/>
      <c r="N49" s="146"/>
      <c r="O49" s="144">
        <v>19797</v>
      </c>
      <c r="P49" s="145"/>
      <c r="Q49" s="145"/>
      <c r="R49" s="147"/>
      <c r="S49" s="148">
        <v>1066</v>
      </c>
      <c r="T49" s="145"/>
      <c r="U49" s="146"/>
      <c r="V49" s="135">
        <v>14085</v>
      </c>
      <c r="W49" s="136"/>
      <c r="X49" s="136"/>
      <c r="Y49" s="137"/>
      <c r="Z49" s="135">
        <f>AF48+V49</f>
        <v>577345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72353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2</v>
      </c>
      <c r="E56" s="117"/>
      <c r="F56" s="117"/>
      <c r="G56" s="117"/>
      <c r="H56" s="117"/>
      <c r="I56" s="118"/>
      <c r="J56" s="119">
        <v>85</v>
      </c>
      <c r="K56" s="120"/>
      <c r="L56" s="120"/>
      <c r="M56" s="121"/>
      <c r="N56" s="122">
        <v>20131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  <c r="AC56" s="1" t="s">
        <v>240</v>
      </c>
      <c r="AF56" s="2">
        <v>33917</v>
      </c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238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239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 t="s">
        <v>243</v>
      </c>
      <c r="C64" s="67"/>
      <c r="D64" s="67"/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244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241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thickBot="1" x14ac:dyDescent="0.35">
      <c r="B67" s="62"/>
      <c r="C67" s="41"/>
      <c r="D67" s="41" t="s">
        <v>242</v>
      </c>
      <c r="E67" s="41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2"/>
      <c r="AC67" s="77"/>
      <c r="AE67" s="67"/>
      <c r="AF67" s="67"/>
      <c r="AG67" s="66"/>
    </row>
    <row r="68" spans="1:33" ht="15" customHeight="1" x14ac:dyDescent="0.3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43"/>
      <c r="AE68"/>
    </row>
    <row r="69" spans="1:33" ht="15" customHeight="1" thickBot="1" x14ac:dyDescent="0.35">
      <c r="B69" s="93" t="s">
        <v>98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</row>
    <row r="70" spans="1:33" ht="14.25" customHeight="1" x14ac:dyDescent="0.3">
      <c r="B70" s="35"/>
      <c r="C70" s="36"/>
      <c r="D70" s="37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5"/>
    </row>
    <row r="71" spans="1:33" ht="14.25" customHeight="1" thickBot="1" x14ac:dyDescent="0.35">
      <c r="B71" s="39"/>
      <c r="C71" s="40"/>
      <c r="D71" s="41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7"/>
    </row>
    <row r="72" spans="1:33" ht="14.25" customHeight="1" x14ac:dyDescent="0.3">
      <c r="B72" s="37"/>
      <c r="C72" s="36"/>
      <c r="D72" s="37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:33" ht="15" customHeight="1" thickBot="1" x14ac:dyDescent="0.35">
      <c r="B73" s="48" t="s">
        <v>63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33" ht="15" customHeight="1" x14ac:dyDescent="0.3">
      <c r="B74" s="49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2"/>
    </row>
    <row r="75" spans="1:33" ht="15" customHeight="1" thickBot="1" x14ac:dyDescent="0.35">
      <c r="B75" s="39"/>
      <c r="C75" s="41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4"/>
    </row>
    <row r="77" spans="1:33" ht="18" thickBot="1" x14ac:dyDescent="0.35">
      <c r="B77" s="4" t="s">
        <v>234</v>
      </c>
    </row>
    <row r="78" spans="1:33" x14ac:dyDescent="0.3">
      <c r="B78" s="35"/>
      <c r="C78" s="37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6"/>
    </row>
    <row r="79" spans="1:33" ht="17.25" thickBot="1" x14ac:dyDescent="0.35">
      <c r="B79" s="39"/>
      <c r="C79" s="41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8"/>
    </row>
  </sheetData>
  <mergeCells count="233">
    <mergeCell ref="B1:AA3"/>
    <mergeCell ref="B4:Q4"/>
    <mergeCell ref="V4:AA4"/>
    <mergeCell ref="B6:E6"/>
    <mergeCell ref="F6:G6"/>
    <mergeCell ref="H6:I6"/>
    <mergeCell ref="J6:K6"/>
    <mergeCell ref="L6:M6"/>
    <mergeCell ref="N6:AA6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60:AA60"/>
    <mergeCell ref="B61:AA61"/>
    <mergeCell ref="A68:Z68"/>
    <mergeCell ref="B69:AA69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6162-5EAD-4DAF-B49C-A663C088DCB1}">
  <dimension ref="A1:AI80"/>
  <sheetViews>
    <sheetView showGridLines="0" topLeftCell="A36" zoomScaleNormal="100" zoomScaleSheetLayoutView="100" workbookViewId="0">
      <selection activeCell="B70" sqref="B70:AA70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46006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228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15</v>
      </c>
      <c r="G8" s="236"/>
      <c r="H8" s="235">
        <f>SUM(H22:I27)</f>
        <v>13</v>
      </c>
      <c r="I8" s="236"/>
      <c r="J8" s="235">
        <f>SUM(J22:K27)</f>
        <v>0</v>
      </c>
      <c r="K8" s="236"/>
      <c r="L8" s="235">
        <f>SUM(L22:M27)</f>
        <v>2</v>
      </c>
      <c r="M8" s="236"/>
      <c r="N8" s="284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41</v>
      </c>
      <c r="G10" s="236"/>
      <c r="H10" s="235">
        <f>SUM(H7:I9)</f>
        <v>34</v>
      </c>
      <c r="I10" s="236"/>
      <c r="J10" s="235">
        <f>SUM(J7:K9)</f>
        <v>1</v>
      </c>
      <c r="K10" s="236"/>
      <c r="L10" s="235">
        <f>SUM(L7:M9)</f>
        <v>5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104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217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4</v>
      </c>
      <c r="I25" s="174"/>
      <c r="J25" s="175">
        <v>0</v>
      </c>
      <c r="K25" s="174"/>
      <c r="L25" s="235">
        <v>1</v>
      </c>
      <c r="M25" s="236"/>
      <c r="N25" s="237" t="s">
        <v>218</v>
      </c>
      <c r="O25" s="238"/>
      <c r="P25" s="238"/>
      <c r="Q25" s="238"/>
      <c r="R25" s="238"/>
      <c r="S25" s="238"/>
      <c r="T25" s="238"/>
      <c r="U25" s="239"/>
      <c r="V25" s="243"/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2</v>
      </c>
      <c r="I26" s="174"/>
      <c r="J26" s="175">
        <v>0</v>
      </c>
      <c r="K26" s="174"/>
      <c r="L26" s="235">
        <v>0</v>
      </c>
      <c r="M26" s="236"/>
      <c r="N26" s="237" t="s">
        <v>226</v>
      </c>
      <c r="O26" s="238"/>
      <c r="P26" s="238"/>
      <c r="Q26" s="238"/>
      <c r="R26" s="238"/>
      <c r="S26" s="238"/>
      <c r="T26" s="238"/>
      <c r="U26" s="239"/>
      <c r="V26" s="240"/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227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238894</v>
      </c>
      <c r="G40" s="177"/>
      <c r="H40" s="177"/>
      <c r="I40" s="178"/>
      <c r="J40" s="176">
        <v>239043</v>
      </c>
      <c r="K40" s="177"/>
      <c r="L40" s="177"/>
      <c r="M40" s="178"/>
      <c r="N40" s="176">
        <f>J40-F40</f>
        <v>149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8162</v>
      </c>
      <c r="G41" s="168"/>
      <c r="H41" s="168"/>
      <c r="I41" s="169"/>
      <c r="J41" s="167">
        <v>8169.7</v>
      </c>
      <c r="K41" s="168"/>
      <c r="L41" s="168"/>
      <c r="M41" s="169"/>
      <c r="N41" s="167">
        <f>J41-F41</f>
        <v>7.6999999999998181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1938.05</v>
      </c>
      <c r="G45" s="162"/>
      <c r="H45" s="162"/>
      <c r="I45" s="163"/>
      <c r="J45" s="161">
        <v>21317.26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x14ac:dyDescent="0.3">
      <c r="B49" s="294">
        <v>46003</v>
      </c>
      <c r="C49" s="295"/>
      <c r="D49" s="296">
        <v>317</v>
      </c>
      <c r="E49" s="140"/>
      <c r="F49" s="140"/>
      <c r="G49" s="297"/>
      <c r="H49" s="296">
        <v>840</v>
      </c>
      <c r="I49" s="140"/>
      <c r="J49" s="140"/>
      <c r="K49" s="297"/>
      <c r="L49" s="296">
        <f t="shared" ref="L49:L50" si="3">D49+H49</f>
        <v>1157</v>
      </c>
      <c r="M49" s="140"/>
      <c r="N49" s="297"/>
      <c r="O49" s="296">
        <v>16171</v>
      </c>
      <c r="P49" s="140"/>
      <c r="Q49" s="140"/>
      <c r="R49" s="298"/>
      <c r="S49" s="299">
        <v>796</v>
      </c>
      <c r="T49" s="140"/>
      <c r="U49" s="297"/>
      <c r="V49" s="300">
        <v>11476</v>
      </c>
      <c r="W49" s="141"/>
      <c r="X49" s="141"/>
      <c r="Y49" s="301"/>
      <c r="Z49" s="300">
        <f>AF48+V49</f>
        <v>574736</v>
      </c>
      <c r="AA49" s="302"/>
      <c r="AF49" s="2"/>
      <c r="AG49" s="2"/>
      <c r="AH49" s="2"/>
    </row>
    <row r="50" spans="2:34" ht="15" customHeight="1" x14ac:dyDescent="0.3">
      <c r="B50" s="303">
        <v>46004</v>
      </c>
      <c r="C50" s="304"/>
      <c r="D50" s="305">
        <v>297</v>
      </c>
      <c r="E50" s="306"/>
      <c r="F50" s="306"/>
      <c r="G50" s="307"/>
      <c r="H50" s="305">
        <v>777</v>
      </c>
      <c r="I50" s="306"/>
      <c r="J50" s="306"/>
      <c r="K50" s="307"/>
      <c r="L50" s="305">
        <f t="shared" si="3"/>
        <v>1074</v>
      </c>
      <c r="M50" s="306"/>
      <c r="N50" s="307"/>
      <c r="O50" s="305">
        <v>17245</v>
      </c>
      <c r="P50" s="306"/>
      <c r="Q50" s="306"/>
      <c r="R50" s="308"/>
      <c r="S50" s="309">
        <v>752</v>
      </c>
      <c r="T50" s="306"/>
      <c r="U50" s="307"/>
      <c r="V50" s="310">
        <v>12228</v>
      </c>
      <c r="W50" s="311"/>
      <c r="X50" s="311"/>
      <c r="Y50" s="312"/>
      <c r="Z50" s="310">
        <f>AF48+V50</f>
        <v>575488</v>
      </c>
      <c r="AA50" s="313"/>
      <c r="AF50" s="2"/>
      <c r="AG50" s="2"/>
      <c r="AH50" s="2"/>
    </row>
    <row r="51" spans="2:34" ht="15" customHeight="1" thickBot="1" x14ac:dyDescent="0.35">
      <c r="B51" s="142">
        <v>46005</v>
      </c>
      <c r="C51" s="143"/>
      <c r="D51" s="144">
        <v>307</v>
      </c>
      <c r="E51" s="145"/>
      <c r="F51" s="145"/>
      <c r="G51" s="146"/>
      <c r="H51" s="144">
        <v>786</v>
      </c>
      <c r="I51" s="145"/>
      <c r="J51" s="145"/>
      <c r="K51" s="146"/>
      <c r="L51" s="144">
        <f>D51+H51</f>
        <v>1093</v>
      </c>
      <c r="M51" s="145"/>
      <c r="N51" s="146"/>
      <c r="O51" s="144">
        <v>18338</v>
      </c>
      <c r="P51" s="145"/>
      <c r="Q51" s="145"/>
      <c r="R51" s="147"/>
      <c r="S51" s="148">
        <v>791</v>
      </c>
      <c r="T51" s="145"/>
      <c r="U51" s="146"/>
      <c r="V51" s="135">
        <v>13019</v>
      </c>
      <c r="W51" s="136"/>
      <c r="X51" s="136"/>
      <c r="Y51" s="137"/>
      <c r="Z51" s="135">
        <f>AF48+V51</f>
        <v>576279</v>
      </c>
      <c r="AA51" s="138"/>
      <c r="AF51" s="34"/>
      <c r="AG51" s="2"/>
      <c r="AH51" s="2"/>
    </row>
    <row r="52" spans="2:34" ht="15" customHeight="1" x14ac:dyDescent="0.3">
      <c r="B52" s="139"/>
      <c r="C52" s="139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1"/>
      <c r="W52" s="141"/>
      <c r="X52" s="141"/>
      <c r="Y52" s="141"/>
      <c r="Z52" s="141"/>
      <c r="AA52" s="141"/>
    </row>
    <row r="53" spans="2:34" ht="15" customHeight="1" thickBot="1" x14ac:dyDescent="0.35">
      <c r="B53" s="125" t="s">
        <v>95</v>
      </c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spans="2:34" ht="15" customHeight="1" thickBot="1" x14ac:dyDescent="0.35">
      <c r="B54" s="126" t="s">
        <v>93</v>
      </c>
      <c r="C54" s="127"/>
      <c r="D54" s="127"/>
      <c r="E54" s="127"/>
      <c r="F54" s="127"/>
      <c r="G54" s="128"/>
      <c r="H54" s="129">
        <v>791</v>
      </c>
      <c r="I54" s="130"/>
      <c r="J54" s="130"/>
      <c r="K54" s="130"/>
      <c r="L54" s="130"/>
      <c r="M54" s="130"/>
      <c r="N54" s="131"/>
      <c r="O54" s="129" t="s">
        <v>94</v>
      </c>
      <c r="P54" s="130"/>
      <c r="Q54" s="130"/>
      <c r="R54" s="130"/>
      <c r="S54" s="130"/>
      <c r="T54" s="130"/>
      <c r="U54" s="131"/>
      <c r="V54" s="132">
        <v>72353</v>
      </c>
      <c r="W54" s="133"/>
      <c r="X54" s="133"/>
      <c r="Y54" s="133"/>
      <c r="Z54" s="133"/>
      <c r="AA54" s="134"/>
    </row>
    <row r="55" spans="2:34" ht="15" customHeight="1" x14ac:dyDescent="0.3">
      <c r="B55" s="68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70"/>
      <c r="W55" s="70"/>
      <c r="X55" s="70"/>
      <c r="Y55" s="70"/>
      <c r="Z55" s="70"/>
      <c r="AA55" s="70"/>
    </row>
    <row r="56" spans="2:34" ht="15" customHeight="1" thickBot="1" x14ac:dyDescent="0.35">
      <c r="B56" s="91" t="s">
        <v>52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</row>
    <row r="57" spans="2:34" ht="15" customHeight="1" x14ac:dyDescent="0.3">
      <c r="B57" s="95" t="s">
        <v>53</v>
      </c>
      <c r="C57" s="96"/>
      <c r="D57" s="99" t="s">
        <v>54</v>
      </c>
      <c r="E57" s="100"/>
      <c r="F57" s="100"/>
      <c r="G57" s="100"/>
      <c r="H57" s="100"/>
      <c r="I57" s="101"/>
      <c r="J57" s="110" t="s">
        <v>55</v>
      </c>
      <c r="K57" s="111"/>
      <c r="L57" s="111"/>
      <c r="M57" s="112"/>
      <c r="N57" s="110" t="s">
        <v>56</v>
      </c>
      <c r="O57" s="111"/>
      <c r="P57" s="111"/>
      <c r="Q57" s="112"/>
      <c r="R57" s="113" t="s">
        <v>57</v>
      </c>
      <c r="S57" s="114"/>
      <c r="T57" s="114"/>
      <c r="U57" s="114"/>
      <c r="V57" s="114"/>
      <c r="W57" s="114"/>
      <c r="X57" s="114"/>
      <c r="Y57" s="114"/>
      <c r="Z57" s="114"/>
      <c r="AA57" s="115"/>
    </row>
    <row r="58" spans="2:34" ht="15" customHeight="1" thickBot="1" x14ac:dyDescent="0.35">
      <c r="B58" s="97"/>
      <c r="C58" s="98"/>
      <c r="D58" s="116">
        <v>1</v>
      </c>
      <c r="E58" s="117"/>
      <c r="F58" s="117"/>
      <c r="G58" s="117"/>
      <c r="H58" s="117"/>
      <c r="I58" s="118"/>
      <c r="J58" s="119">
        <v>85</v>
      </c>
      <c r="K58" s="120"/>
      <c r="L58" s="120"/>
      <c r="M58" s="121"/>
      <c r="N58" s="122">
        <v>33638</v>
      </c>
      <c r="O58" s="123"/>
      <c r="P58" s="123"/>
      <c r="Q58" s="124"/>
      <c r="R58" s="106"/>
      <c r="S58" s="107"/>
      <c r="T58" s="107"/>
      <c r="U58" s="107"/>
      <c r="V58" s="107"/>
      <c r="W58" s="107"/>
      <c r="X58" s="107"/>
      <c r="Y58" s="107"/>
      <c r="Z58" s="107"/>
      <c r="AA58" s="109"/>
      <c r="AF58" s="2">
        <v>33917</v>
      </c>
    </row>
    <row r="59" spans="2:34" ht="15" customHeight="1" thickBot="1" x14ac:dyDescent="0.35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 t="s">
        <v>67</v>
      </c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 spans="2:34" ht="15" customHeight="1" x14ac:dyDescent="0.3">
      <c r="B60" s="95" t="s">
        <v>58</v>
      </c>
      <c r="C60" s="96"/>
      <c r="D60" s="99" t="s">
        <v>59</v>
      </c>
      <c r="E60" s="100"/>
      <c r="F60" s="100"/>
      <c r="G60" s="100"/>
      <c r="H60" s="100"/>
      <c r="I60" s="101"/>
      <c r="J60" s="99" t="s">
        <v>60</v>
      </c>
      <c r="K60" s="100"/>
      <c r="L60" s="100"/>
      <c r="M60" s="101"/>
      <c r="N60" s="99" t="s">
        <v>61</v>
      </c>
      <c r="O60" s="100"/>
      <c r="P60" s="100"/>
      <c r="Q60" s="101"/>
      <c r="R60" s="99" t="s">
        <v>57</v>
      </c>
      <c r="S60" s="100"/>
      <c r="T60" s="100"/>
      <c r="U60" s="100"/>
      <c r="V60" s="100"/>
      <c r="W60" s="100"/>
      <c r="X60" s="100"/>
      <c r="Y60" s="100"/>
      <c r="Z60" s="100"/>
      <c r="AA60" s="102"/>
    </row>
    <row r="61" spans="2:34" ht="15" customHeight="1" thickBot="1" x14ac:dyDescent="0.35">
      <c r="B61" s="97"/>
      <c r="C61" s="98"/>
      <c r="D61" s="103" t="s">
        <v>62</v>
      </c>
      <c r="E61" s="104"/>
      <c r="F61" s="104"/>
      <c r="G61" s="104"/>
      <c r="H61" s="104"/>
      <c r="I61" s="105"/>
      <c r="J61" s="106" t="s">
        <v>62</v>
      </c>
      <c r="K61" s="107"/>
      <c r="L61" s="107"/>
      <c r="M61" s="108"/>
      <c r="N61" s="106" t="s">
        <v>62</v>
      </c>
      <c r="O61" s="107"/>
      <c r="P61" s="107"/>
      <c r="Q61" s="108"/>
      <c r="R61" s="106"/>
      <c r="S61" s="107"/>
      <c r="T61" s="107"/>
      <c r="U61" s="107"/>
      <c r="V61" s="107"/>
      <c r="W61" s="107"/>
      <c r="X61" s="107"/>
      <c r="Y61" s="107"/>
      <c r="Z61" s="107"/>
      <c r="AA61" s="109"/>
    </row>
    <row r="62" spans="2:34" ht="15" customHeight="1" x14ac:dyDescent="0.3"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</row>
    <row r="63" spans="2:34" ht="15" customHeight="1" thickBot="1" x14ac:dyDescent="0.35">
      <c r="B63" s="91" t="s">
        <v>64</v>
      </c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H63" s="1" t="s">
        <v>83</v>
      </c>
    </row>
    <row r="64" spans="2:34" ht="15" customHeight="1" x14ac:dyDescent="0.3">
      <c r="B64" s="71" t="s">
        <v>231</v>
      </c>
      <c r="C64" s="37"/>
      <c r="D64" s="37"/>
      <c r="E64" s="37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72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232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235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x14ac:dyDescent="0.3">
      <c r="B67" s="61"/>
      <c r="C67" s="67"/>
      <c r="D67" s="67" t="s">
        <v>236</v>
      </c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D67" s="67"/>
      <c r="AE67" s="67"/>
      <c r="AF67" s="67"/>
      <c r="AG67" s="66"/>
    </row>
    <row r="68" spans="1:33" ht="15" customHeight="1" thickBot="1" x14ac:dyDescent="0.35">
      <c r="B68" s="62" t="s">
        <v>233</v>
      </c>
      <c r="C68" s="41"/>
      <c r="D68" s="41"/>
      <c r="E68" s="4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2"/>
      <c r="AC68" s="77"/>
      <c r="AE68" s="67"/>
      <c r="AF68" s="67"/>
      <c r="AG68" s="66"/>
    </row>
    <row r="69" spans="1:33" ht="15" customHeight="1" x14ac:dyDescent="0.3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43"/>
      <c r="AE69"/>
    </row>
    <row r="70" spans="1:33" ht="15" customHeight="1" thickBot="1" x14ac:dyDescent="0.35">
      <c r="B70" s="93" t="s">
        <v>98</v>
      </c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</row>
    <row r="71" spans="1:33" ht="14.25" customHeight="1" x14ac:dyDescent="0.3">
      <c r="B71" s="35"/>
      <c r="C71" s="36"/>
      <c r="D71" s="37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5"/>
    </row>
    <row r="72" spans="1:33" ht="14.25" customHeight="1" thickBot="1" x14ac:dyDescent="0.35">
      <c r="B72" s="39"/>
      <c r="C72" s="40"/>
      <c r="D72" s="41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7"/>
    </row>
    <row r="73" spans="1:33" ht="14.25" customHeight="1" x14ac:dyDescent="0.3">
      <c r="B73" s="37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33" ht="15" customHeight="1" thickBot="1" x14ac:dyDescent="0.35">
      <c r="B74" s="48" t="s">
        <v>63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33" ht="15" customHeight="1" x14ac:dyDescent="0.3">
      <c r="B75" s="49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2"/>
    </row>
    <row r="76" spans="1:33" ht="15" customHeight="1" thickBot="1" x14ac:dyDescent="0.35">
      <c r="B76" s="39"/>
      <c r="C76" s="41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4"/>
    </row>
    <row r="78" spans="1:33" ht="18" thickBot="1" x14ac:dyDescent="0.35">
      <c r="B78" s="4" t="s">
        <v>234</v>
      </c>
    </row>
    <row r="79" spans="1:33" x14ac:dyDescent="0.3">
      <c r="B79" s="35"/>
      <c r="C79" s="37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6"/>
    </row>
    <row r="80" spans="1:33" ht="17.25" thickBot="1" x14ac:dyDescent="0.35">
      <c r="B80" s="39"/>
      <c r="C80" s="41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8"/>
    </row>
  </sheetData>
  <mergeCells count="249">
    <mergeCell ref="B49:C49"/>
    <mergeCell ref="D49:G49"/>
    <mergeCell ref="H49:K49"/>
    <mergeCell ref="L49:N49"/>
    <mergeCell ref="O49:R49"/>
    <mergeCell ref="S49:U49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1:AA3"/>
    <mergeCell ref="B4:Q4"/>
    <mergeCell ref="V4:AA4"/>
    <mergeCell ref="B6:E6"/>
    <mergeCell ref="F6:G6"/>
    <mergeCell ref="H6:I6"/>
    <mergeCell ref="J6:K6"/>
    <mergeCell ref="L6:M6"/>
    <mergeCell ref="N6:AA6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53:AA53"/>
    <mergeCell ref="B54:G54"/>
    <mergeCell ref="H54:N54"/>
    <mergeCell ref="O54:U54"/>
    <mergeCell ref="V54:AA54"/>
    <mergeCell ref="B56:AA56"/>
    <mergeCell ref="V51:Y51"/>
    <mergeCell ref="Z51:AA51"/>
    <mergeCell ref="B52:C52"/>
    <mergeCell ref="D52:G52"/>
    <mergeCell ref="H52:K52"/>
    <mergeCell ref="L52:N52"/>
    <mergeCell ref="O52:R52"/>
    <mergeCell ref="S52:U52"/>
    <mergeCell ref="V52:Y52"/>
    <mergeCell ref="Z52:AA52"/>
    <mergeCell ref="B51:C51"/>
    <mergeCell ref="D51:G51"/>
    <mergeCell ref="H51:K51"/>
    <mergeCell ref="L51:N51"/>
    <mergeCell ref="O51:R51"/>
    <mergeCell ref="S51:U51"/>
    <mergeCell ref="B57:C58"/>
    <mergeCell ref="D57:I57"/>
    <mergeCell ref="J57:M57"/>
    <mergeCell ref="N57:Q57"/>
    <mergeCell ref="R57:AA57"/>
    <mergeCell ref="D58:I58"/>
    <mergeCell ref="J58:M58"/>
    <mergeCell ref="N58:Q58"/>
    <mergeCell ref="R58:AA58"/>
    <mergeCell ref="B62:AA62"/>
    <mergeCell ref="B63:AA63"/>
    <mergeCell ref="A69:Z69"/>
    <mergeCell ref="B70:AA70"/>
    <mergeCell ref="R59:AA59"/>
    <mergeCell ref="B60:C61"/>
    <mergeCell ref="D60:I60"/>
    <mergeCell ref="J60:M60"/>
    <mergeCell ref="N60:Q60"/>
    <mergeCell ref="R60:AA60"/>
    <mergeCell ref="D61:I61"/>
    <mergeCell ref="J61:M61"/>
    <mergeCell ref="N61:Q61"/>
    <mergeCell ref="R61:AA6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F24A-E842-4116-9EF3-231C914FE869}">
  <dimension ref="A1:AI78"/>
  <sheetViews>
    <sheetView showGridLines="0" topLeftCell="A48" zoomScaleNormal="100" zoomScaleSheetLayoutView="100" workbookViewId="0">
      <selection activeCell="N71" sqref="N71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46003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15</v>
      </c>
      <c r="G8" s="236"/>
      <c r="H8" s="235">
        <f>SUM(H22:I27)</f>
        <v>12</v>
      </c>
      <c r="I8" s="236"/>
      <c r="J8" s="235">
        <f>SUM(J22:K27)</f>
        <v>1</v>
      </c>
      <c r="K8" s="236"/>
      <c r="L8" s="235">
        <f>SUM(L22:M27)</f>
        <v>2</v>
      </c>
      <c r="M8" s="236"/>
      <c r="N8" s="284" t="s">
        <v>170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 t="s">
        <v>229</v>
      </c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41</v>
      </c>
      <c r="G10" s="236"/>
      <c r="H10" s="235">
        <f>SUM(H7:I9)</f>
        <v>33</v>
      </c>
      <c r="I10" s="236"/>
      <c r="J10" s="235">
        <f>SUM(J7:K9)</f>
        <v>2</v>
      </c>
      <c r="K10" s="236"/>
      <c r="L10" s="235">
        <f>SUM(L7:M9)</f>
        <v>5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129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217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 t="s">
        <v>230</v>
      </c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4</v>
      </c>
      <c r="I25" s="174"/>
      <c r="J25" s="175">
        <v>0</v>
      </c>
      <c r="K25" s="174"/>
      <c r="L25" s="235">
        <v>1</v>
      </c>
      <c r="M25" s="236"/>
      <c r="N25" s="237" t="s">
        <v>218</v>
      </c>
      <c r="O25" s="238"/>
      <c r="P25" s="238"/>
      <c r="Q25" s="238"/>
      <c r="R25" s="238"/>
      <c r="S25" s="238"/>
      <c r="T25" s="238"/>
      <c r="U25" s="239"/>
      <c r="V25" s="243" t="s">
        <v>220</v>
      </c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1</v>
      </c>
      <c r="I26" s="174"/>
      <c r="J26" s="175">
        <v>1</v>
      </c>
      <c r="K26" s="174"/>
      <c r="L26" s="235">
        <v>0</v>
      </c>
      <c r="M26" s="236"/>
      <c r="N26" s="237" t="s">
        <v>172</v>
      </c>
      <c r="O26" s="238"/>
      <c r="P26" s="238"/>
      <c r="Q26" s="238"/>
      <c r="R26" s="238"/>
      <c r="S26" s="238"/>
      <c r="T26" s="238"/>
      <c r="U26" s="239"/>
      <c r="V26" s="240" t="s">
        <v>237</v>
      </c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221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238333</v>
      </c>
      <c r="G40" s="177"/>
      <c r="H40" s="177"/>
      <c r="I40" s="178"/>
      <c r="J40" s="176">
        <v>238894</v>
      </c>
      <c r="K40" s="177"/>
      <c r="L40" s="177"/>
      <c r="M40" s="178"/>
      <c r="N40" s="176">
        <f>J40-F40</f>
        <v>561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8152</v>
      </c>
      <c r="G41" s="168"/>
      <c r="H41" s="168"/>
      <c r="I41" s="169"/>
      <c r="J41" s="167">
        <v>8162</v>
      </c>
      <c r="K41" s="168"/>
      <c r="L41" s="168"/>
      <c r="M41" s="169"/>
      <c r="N41" s="167">
        <f>J41-F41</f>
        <v>10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2121.11</v>
      </c>
      <c r="G45" s="162"/>
      <c r="H45" s="162"/>
      <c r="I45" s="163"/>
      <c r="J45" s="161">
        <v>18595.150000000001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46002</v>
      </c>
      <c r="C49" s="143"/>
      <c r="D49" s="144">
        <v>241</v>
      </c>
      <c r="E49" s="145"/>
      <c r="F49" s="145"/>
      <c r="G49" s="146"/>
      <c r="H49" s="144">
        <v>654</v>
      </c>
      <c r="I49" s="145"/>
      <c r="J49" s="145"/>
      <c r="K49" s="146"/>
      <c r="L49" s="144">
        <f>D49+H49</f>
        <v>895</v>
      </c>
      <c r="M49" s="145"/>
      <c r="N49" s="146"/>
      <c r="O49" s="144">
        <v>15014</v>
      </c>
      <c r="P49" s="145"/>
      <c r="Q49" s="145"/>
      <c r="R49" s="147"/>
      <c r="S49" s="148">
        <v>612</v>
      </c>
      <c r="T49" s="145"/>
      <c r="U49" s="146"/>
      <c r="V49" s="135">
        <v>10680</v>
      </c>
      <c r="W49" s="136"/>
      <c r="X49" s="136"/>
      <c r="Y49" s="137"/>
      <c r="Z49" s="135">
        <f>AF48+V49</f>
        <v>573940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72353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2</v>
      </c>
      <c r="E56" s="117"/>
      <c r="F56" s="117"/>
      <c r="G56" s="117"/>
      <c r="H56" s="117"/>
      <c r="I56" s="118"/>
      <c r="J56" s="119">
        <v>84</v>
      </c>
      <c r="K56" s="120"/>
      <c r="L56" s="120"/>
      <c r="M56" s="121"/>
      <c r="N56" s="122">
        <v>20120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  <c r="AF56" s="2">
        <v>33917</v>
      </c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219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 t="s">
        <v>224</v>
      </c>
      <c r="C63" s="67"/>
      <c r="D63" s="67"/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/>
      <c r="C64" s="67"/>
      <c r="D64" s="67" t="s">
        <v>225</v>
      </c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 t="s">
        <v>222</v>
      </c>
      <c r="C65" s="67"/>
      <c r="D65" s="67"/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thickBot="1" x14ac:dyDescent="0.35">
      <c r="B66" s="62"/>
      <c r="C66" s="41"/>
      <c r="D66" s="41" t="s">
        <v>223</v>
      </c>
      <c r="E66" s="41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2"/>
      <c r="AC66" s="77"/>
      <c r="AE66" s="67"/>
      <c r="AF66" s="67"/>
      <c r="AG66" s="66"/>
    </row>
    <row r="67" spans="1:33" ht="15" customHeight="1" x14ac:dyDescent="0.3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43"/>
      <c r="AE67"/>
    </row>
    <row r="68" spans="1:33" ht="15" customHeight="1" thickBot="1" x14ac:dyDescent="0.35">
      <c r="B68" s="93" t="s">
        <v>98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</row>
    <row r="69" spans="1:33" ht="14.25" customHeight="1" x14ac:dyDescent="0.3">
      <c r="B69" s="35"/>
      <c r="C69" s="36"/>
      <c r="D69" s="37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5"/>
    </row>
    <row r="70" spans="1:33" ht="14.25" customHeight="1" thickBot="1" x14ac:dyDescent="0.35">
      <c r="B70" s="39"/>
      <c r="C70" s="40"/>
      <c r="D70" s="41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7"/>
    </row>
    <row r="71" spans="1:33" ht="14.25" customHeight="1" x14ac:dyDescent="0.3">
      <c r="B71" s="37"/>
      <c r="C71" s="36"/>
      <c r="D71" s="37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:33" ht="15" customHeight="1" thickBot="1" x14ac:dyDescent="0.35">
      <c r="B72" s="48" t="s">
        <v>63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33" ht="15" customHeight="1" x14ac:dyDescent="0.3">
      <c r="B73" s="49"/>
      <c r="C73" s="50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2"/>
    </row>
    <row r="74" spans="1:33" ht="15" customHeight="1" thickBot="1" x14ac:dyDescent="0.35">
      <c r="B74" s="39"/>
      <c r="C74" s="41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4"/>
    </row>
    <row r="76" spans="1:33" ht="18" thickBot="1" x14ac:dyDescent="0.35">
      <c r="B76" s="4" t="s">
        <v>175</v>
      </c>
    </row>
    <row r="77" spans="1:33" x14ac:dyDescent="0.3">
      <c r="B77" s="35"/>
      <c r="C77" s="37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6"/>
    </row>
    <row r="78" spans="1:33" ht="17.25" thickBot="1" x14ac:dyDescent="0.35">
      <c r="B78" s="39"/>
      <c r="C78" s="41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8"/>
    </row>
  </sheetData>
  <mergeCells count="233">
    <mergeCell ref="B1:AA3"/>
    <mergeCell ref="B4:Q4"/>
    <mergeCell ref="V4:AA4"/>
    <mergeCell ref="B6:E6"/>
    <mergeCell ref="F6:G6"/>
    <mergeCell ref="H6:I6"/>
    <mergeCell ref="J6:K6"/>
    <mergeCell ref="L6:M6"/>
    <mergeCell ref="N6:AA6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60:AA60"/>
    <mergeCell ref="B61:AA61"/>
    <mergeCell ref="A67:Z67"/>
    <mergeCell ref="B68:AA68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EE25-181D-4278-B5A3-DE2F6CF0A234}">
  <dimension ref="A1:AI79"/>
  <sheetViews>
    <sheetView showGridLines="0" topLeftCell="A53" zoomScaleNormal="100" zoomScaleSheetLayoutView="100" workbookViewId="0">
      <selection activeCell="Q80" sqref="Q80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46002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15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16</v>
      </c>
      <c r="G8" s="236"/>
      <c r="H8" s="235">
        <f>SUM(H22:I27)</f>
        <v>13</v>
      </c>
      <c r="I8" s="236"/>
      <c r="J8" s="235">
        <f>SUM(J22:K27)</f>
        <v>1</v>
      </c>
      <c r="K8" s="236"/>
      <c r="L8" s="235">
        <f>SUM(L22:M27)</f>
        <v>2</v>
      </c>
      <c r="M8" s="236"/>
      <c r="N8" s="284" t="s">
        <v>170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 t="s">
        <v>184</v>
      </c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42</v>
      </c>
      <c r="G10" s="236"/>
      <c r="H10" s="235">
        <f>SUM(H7:I9)</f>
        <v>33</v>
      </c>
      <c r="I10" s="236"/>
      <c r="J10" s="235">
        <f>SUM(J7:K9)</f>
        <v>2</v>
      </c>
      <c r="K10" s="236"/>
      <c r="L10" s="235">
        <f>SUM(L7:M9)</f>
        <v>5</v>
      </c>
      <c r="M10" s="236"/>
      <c r="N10" s="284" t="s">
        <v>209</v>
      </c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 t="s">
        <v>214</v>
      </c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104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4</v>
      </c>
      <c r="I15" s="101"/>
      <c r="J15" s="99">
        <v>0</v>
      </c>
      <c r="K15" s="101"/>
      <c r="L15" s="244">
        <v>2</v>
      </c>
      <c r="M15" s="245"/>
      <c r="N15" s="278" t="s">
        <v>216</v>
      </c>
      <c r="O15" s="279"/>
      <c r="P15" s="279"/>
      <c r="Q15" s="279"/>
      <c r="R15" s="279"/>
      <c r="S15" s="279"/>
      <c r="T15" s="279"/>
      <c r="U15" s="280"/>
      <c r="V15" s="269" t="s">
        <v>215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210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4</v>
      </c>
      <c r="I25" s="174"/>
      <c r="J25" s="175">
        <v>0</v>
      </c>
      <c r="K25" s="174"/>
      <c r="L25" s="235">
        <v>1</v>
      </c>
      <c r="M25" s="236"/>
      <c r="N25" s="237" t="s">
        <v>182</v>
      </c>
      <c r="O25" s="238"/>
      <c r="P25" s="238"/>
      <c r="Q25" s="238"/>
      <c r="R25" s="238"/>
      <c r="S25" s="238"/>
      <c r="T25" s="238"/>
      <c r="U25" s="239"/>
      <c r="V25" s="243" t="s">
        <v>183</v>
      </c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3</v>
      </c>
      <c r="G26" s="174"/>
      <c r="H26" s="175">
        <f t="shared" ref="H26:H27" si="2">F26-SUM(J26:M26)</f>
        <v>2</v>
      </c>
      <c r="I26" s="174"/>
      <c r="J26" s="175">
        <v>1</v>
      </c>
      <c r="K26" s="174"/>
      <c r="L26" s="235">
        <v>0</v>
      </c>
      <c r="M26" s="236"/>
      <c r="N26" s="237" t="s">
        <v>203</v>
      </c>
      <c r="O26" s="238"/>
      <c r="P26" s="238"/>
      <c r="Q26" s="238"/>
      <c r="R26" s="238"/>
      <c r="S26" s="238"/>
      <c r="T26" s="238"/>
      <c r="U26" s="239"/>
      <c r="V26" s="240" t="s">
        <v>171</v>
      </c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238209</v>
      </c>
      <c r="G40" s="177"/>
      <c r="H40" s="177"/>
      <c r="I40" s="178"/>
      <c r="J40" s="176">
        <v>238333</v>
      </c>
      <c r="K40" s="177"/>
      <c r="L40" s="177"/>
      <c r="M40" s="178"/>
      <c r="N40" s="176">
        <f>J40-F40</f>
        <v>124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8146</v>
      </c>
      <c r="G41" s="168"/>
      <c r="H41" s="168"/>
      <c r="I41" s="169"/>
      <c r="J41" s="167">
        <v>8152</v>
      </c>
      <c r="K41" s="168"/>
      <c r="L41" s="168"/>
      <c r="M41" s="169"/>
      <c r="N41" s="167">
        <f>J41-F41</f>
        <v>6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 t="s">
        <v>213</v>
      </c>
      <c r="G45" s="162"/>
      <c r="H45" s="162"/>
      <c r="I45" s="163"/>
      <c r="J45" s="161">
        <v>16474.04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46001</v>
      </c>
      <c r="C49" s="143"/>
      <c r="D49" s="144">
        <v>352</v>
      </c>
      <c r="E49" s="145"/>
      <c r="F49" s="145"/>
      <c r="G49" s="146"/>
      <c r="H49" s="144">
        <v>944</v>
      </c>
      <c r="I49" s="145"/>
      <c r="J49" s="145"/>
      <c r="K49" s="146"/>
      <c r="L49" s="144">
        <f>D49+H49</f>
        <v>1296</v>
      </c>
      <c r="M49" s="145"/>
      <c r="N49" s="146"/>
      <c r="O49" s="144">
        <v>14119</v>
      </c>
      <c r="P49" s="145"/>
      <c r="Q49" s="145"/>
      <c r="R49" s="147"/>
      <c r="S49" s="148">
        <v>883</v>
      </c>
      <c r="T49" s="145"/>
      <c r="U49" s="146"/>
      <c r="V49" s="135">
        <v>10068</v>
      </c>
      <c r="W49" s="136"/>
      <c r="X49" s="136"/>
      <c r="Y49" s="137"/>
      <c r="Z49" s="135">
        <f>AF48+V49</f>
        <v>573328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72311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1</v>
      </c>
      <c r="E56" s="117"/>
      <c r="F56" s="117"/>
      <c r="G56" s="117"/>
      <c r="H56" s="117"/>
      <c r="I56" s="118"/>
      <c r="J56" s="119">
        <v>85</v>
      </c>
      <c r="K56" s="120"/>
      <c r="L56" s="120"/>
      <c r="M56" s="121"/>
      <c r="N56" s="122">
        <v>33627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  <c r="AF56" s="2">
        <v>33917</v>
      </c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206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207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/>
      <c r="C64" s="67"/>
      <c r="D64" s="67" t="s">
        <v>205</v>
      </c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 t="s">
        <v>208</v>
      </c>
      <c r="C65" s="67"/>
      <c r="D65" s="67"/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211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E66" s="67"/>
      <c r="AF66" s="67"/>
      <c r="AG66" s="66"/>
    </row>
    <row r="67" spans="1:33" ht="15" customHeight="1" thickBot="1" x14ac:dyDescent="0.35">
      <c r="B67" s="62"/>
      <c r="C67" s="41"/>
      <c r="D67" s="41" t="s">
        <v>212</v>
      </c>
      <c r="E67" s="41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2"/>
      <c r="AC67" s="77"/>
      <c r="AE67" s="67"/>
      <c r="AF67" s="67"/>
      <c r="AG67" s="66"/>
    </row>
    <row r="68" spans="1:33" ht="15" customHeight="1" x14ac:dyDescent="0.3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43"/>
      <c r="AE68"/>
    </row>
    <row r="69" spans="1:33" ht="15" customHeight="1" thickBot="1" x14ac:dyDescent="0.35">
      <c r="B69" s="93" t="s">
        <v>98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</row>
    <row r="70" spans="1:33" ht="14.25" customHeight="1" x14ac:dyDescent="0.3">
      <c r="B70" s="35"/>
      <c r="C70" s="36"/>
      <c r="D70" s="37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5"/>
    </row>
    <row r="71" spans="1:33" ht="14.25" customHeight="1" thickBot="1" x14ac:dyDescent="0.35">
      <c r="B71" s="39"/>
      <c r="C71" s="40"/>
      <c r="D71" s="41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7"/>
    </row>
    <row r="72" spans="1:33" ht="14.25" customHeight="1" x14ac:dyDescent="0.3">
      <c r="B72" s="37"/>
      <c r="C72" s="36"/>
      <c r="D72" s="37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:33" ht="15" customHeight="1" thickBot="1" x14ac:dyDescent="0.35">
      <c r="B73" s="48" t="s">
        <v>63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33" ht="15" customHeight="1" x14ac:dyDescent="0.3">
      <c r="B74" s="49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2"/>
    </row>
    <row r="75" spans="1:33" ht="15" customHeight="1" thickBot="1" x14ac:dyDescent="0.35">
      <c r="B75" s="39"/>
      <c r="C75" s="41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4"/>
    </row>
    <row r="77" spans="1:33" ht="18" thickBot="1" x14ac:dyDescent="0.35">
      <c r="B77" s="4" t="s">
        <v>175</v>
      </c>
    </row>
    <row r="78" spans="1:33" x14ac:dyDescent="0.3">
      <c r="B78" s="35"/>
      <c r="C78" s="37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6"/>
    </row>
    <row r="79" spans="1:33" ht="17.25" thickBot="1" x14ac:dyDescent="0.35">
      <c r="B79" s="39"/>
      <c r="C79" s="41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8"/>
    </row>
  </sheetData>
  <mergeCells count="233">
    <mergeCell ref="B1:AA3"/>
    <mergeCell ref="B4:Q4"/>
    <mergeCell ref="V4:AA4"/>
    <mergeCell ref="B6:E6"/>
    <mergeCell ref="F6:G6"/>
    <mergeCell ref="H6:I6"/>
    <mergeCell ref="J6:K6"/>
    <mergeCell ref="L6:M6"/>
    <mergeCell ref="N6:AA6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60:AA60"/>
    <mergeCell ref="B61:AA61"/>
    <mergeCell ref="A68:Z68"/>
    <mergeCell ref="B69:AA69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8A62-DF51-4EA5-95E6-A8DC6A809082}">
  <dimension ref="A1:AI80"/>
  <sheetViews>
    <sheetView showGridLines="0" topLeftCell="A50" zoomScaleNormal="100" zoomScaleSheetLayoutView="100" workbookViewId="0">
      <selection activeCell="D65" sqref="D65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46001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16</v>
      </c>
      <c r="G8" s="236"/>
      <c r="H8" s="235">
        <f>SUM(H22:I27)</f>
        <v>13</v>
      </c>
      <c r="I8" s="236"/>
      <c r="J8" s="235">
        <f>SUM(J22:K27)</f>
        <v>1</v>
      </c>
      <c r="K8" s="236"/>
      <c r="L8" s="235">
        <f>SUM(L22:M27)</f>
        <v>2</v>
      </c>
      <c r="M8" s="236"/>
      <c r="N8" s="284" t="s">
        <v>170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 t="s">
        <v>184</v>
      </c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42</v>
      </c>
      <c r="G10" s="236"/>
      <c r="H10" s="235">
        <f>SUM(H7:I9)</f>
        <v>34</v>
      </c>
      <c r="I10" s="236"/>
      <c r="J10" s="235">
        <f>SUM(J7:K9)</f>
        <v>2</v>
      </c>
      <c r="K10" s="236"/>
      <c r="L10" s="235">
        <f>SUM(L7:M9)</f>
        <v>5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129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4</v>
      </c>
      <c r="I25" s="174"/>
      <c r="J25" s="175">
        <v>0</v>
      </c>
      <c r="K25" s="174"/>
      <c r="L25" s="235">
        <v>1</v>
      </c>
      <c r="M25" s="236"/>
      <c r="N25" s="237" t="s">
        <v>182</v>
      </c>
      <c r="O25" s="238"/>
      <c r="P25" s="238"/>
      <c r="Q25" s="238"/>
      <c r="R25" s="238"/>
      <c r="S25" s="238"/>
      <c r="T25" s="238"/>
      <c r="U25" s="239"/>
      <c r="V25" s="243" t="s">
        <v>183</v>
      </c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3</v>
      </c>
      <c r="G26" s="174"/>
      <c r="H26" s="175">
        <f t="shared" ref="H26:H27" si="2">F26-SUM(J26:M26)</f>
        <v>2</v>
      </c>
      <c r="I26" s="174"/>
      <c r="J26" s="175">
        <v>1</v>
      </c>
      <c r="K26" s="174"/>
      <c r="L26" s="235">
        <v>0</v>
      </c>
      <c r="M26" s="236"/>
      <c r="N26" s="237" t="s">
        <v>203</v>
      </c>
      <c r="O26" s="238"/>
      <c r="P26" s="238"/>
      <c r="Q26" s="238"/>
      <c r="R26" s="238"/>
      <c r="S26" s="238"/>
      <c r="T26" s="238"/>
      <c r="U26" s="239"/>
      <c r="V26" s="240" t="s">
        <v>171</v>
      </c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237659</v>
      </c>
      <c r="G40" s="177"/>
      <c r="H40" s="177"/>
      <c r="I40" s="178"/>
      <c r="J40" s="176">
        <v>238209</v>
      </c>
      <c r="K40" s="177"/>
      <c r="L40" s="177"/>
      <c r="M40" s="178"/>
      <c r="N40" s="176">
        <f>J40-F40</f>
        <v>550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8137</v>
      </c>
      <c r="G41" s="168"/>
      <c r="H41" s="168"/>
      <c r="I41" s="169"/>
      <c r="J41" s="167">
        <v>8146</v>
      </c>
      <c r="K41" s="168"/>
      <c r="L41" s="168"/>
      <c r="M41" s="169"/>
      <c r="N41" s="167">
        <f>J41-F41</f>
        <v>9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 t="s">
        <v>204</v>
      </c>
      <c r="G45" s="162"/>
      <c r="H45" s="162"/>
      <c r="I45" s="163"/>
      <c r="J45" s="161">
        <v>15082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46000</v>
      </c>
      <c r="C49" s="143"/>
      <c r="D49" s="144">
        <v>448</v>
      </c>
      <c r="E49" s="145"/>
      <c r="F49" s="145"/>
      <c r="G49" s="146"/>
      <c r="H49" s="144">
        <v>1119</v>
      </c>
      <c r="I49" s="145"/>
      <c r="J49" s="145"/>
      <c r="K49" s="146"/>
      <c r="L49" s="144">
        <f>D49+H49</f>
        <v>1567</v>
      </c>
      <c r="M49" s="145"/>
      <c r="N49" s="146"/>
      <c r="O49" s="144">
        <v>12823</v>
      </c>
      <c r="P49" s="145"/>
      <c r="Q49" s="145"/>
      <c r="R49" s="147"/>
      <c r="S49" s="148">
        <v>1144</v>
      </c>
      <c r="T49" s="145"/>
      <c r="U49" s="146"/>
      <c r="V49" s="135">
        <v>9185</v>
      </c>
      <c r="W49" s="136"/>
      <c r="X49" s="136"/>
      <c r="Y49" s="137"/>
      <c r="Z49" s="135">
        <f>AF48+V49</f>
        <v>572445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72311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2</v>
      </c>
      <c r="E56" s="117"/>
      <c r="F56" s="117"/>
      <c r="G56" s="117"/>
      <c r="H56" s="117"/>
      <c r="I56" s="118"/>
      <c r="J56" s="119">
        <v>85</v>
      </c>
      <c r="K56" s="120"/>
      <c r="L56" s="120"/>
      <c r="M56" s="121"/>
      <c r="N56" s="122">
        <v>20109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  <c r="AF56" s="2">
        <v>33917</v>
      </c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194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195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 t="s">
        <v>198</v>
      </c>
      <c r="C64" s="67"/>
      <c r="D64" s="67"/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199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/>
      <c r="C66" s="67"/>
      <c r="D66" s="67" t="s">
        <v>200</v>
      </c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E66" s="67"/>
      <c r="AF66" s="67"/>
      <c r="AG66" s="66"/>
    </row>
    <row r="67" spans="1:33" ht="15" customHeight="1" x14ac:dyDescent="0.3">
      <c r="B67" s="61" t="s">
        <v>201</v>
      </c>
      <c r="C67" s="67"/>
      <c r="D67" s="67"/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E67" s="67"/>
      <c r="AF67" s="67"/>
      <c r="AG67" s="66"/>
    </row>
    <row r="68" spans="1:33" ht="15" customHeight="1" thickBot="1" x14ac:dyDescent="0.35">
      <c r="B68" s="62"/>
      <c r="C68" s="41"/>
      <c r="D68" s="24" t="s">
        <v>202</v>
      </c>
      <c r="E68" s="4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2"/>
      <c r="AC68" s="77"/>
      <c r="AD68" s="67"/>
      <c r="AE68" s="67"/>
      <c r="AF68" s="67"/>
      <c r="AG68" s="66"/>
    </row>
    <row r="69" spans="1:33" ht="15" customHeight="1" x14ac:dyDescent="0.3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43"/>
      <c r="AE69"/>
    </row>
    <row r="70" spans="1:33" ht="15" customHeight="1" thickBot="1" x14ac:dyDescent="0.35">
      <c r="B70" s="93" t="s">
        <v>98</v>
      </c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</row>
    <row r="71" spans="1:33" ht="14.25" customHeight="1" x14ac:dyDescent="0.3">
      <c r="B71" s="35"/>
      <c r="C71" s="36"/>
      <c r="D71" s="37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5"/>
    </row>
    <row r="72" spans="1:33" ht="14.25" customHeight="1" thickBot="1" x14ac:dyDescent="0.35">
      <c r="B72" s="39"/>
      <c r="C72" s="40"/>
      <c r="D72" s="41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7"/>
    </row>
    <row r="73" spans="1:33" ht="14.25" customHeight="1" x14ac:dyDescent="0.3">
      <c r="B73" s="37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33" ht="15" customHeight="1" thickBot="1" x14ac:dyDescent="0.35">
      <c r="B74" s="48" t="s">
        <v>63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33" ht="15" customHeight="1" x14ac:dyDescent="0.3">
      <c r="B75" s="49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2"/>
    </row>
    <row r="76" spans="1:33" ht="15" customHeight="1" thickBot="1" x14ac:dyDescent="0.35">
      <c r="B76" s="39"/>
      <c r="C76" s="41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4"/>
    </row>
    <row r="78" spans="1:33" ht="18" thickBot="1" x14ac:dyDescent="0.35">
      <c r="B78" s="4" t="s">
        <v>175</v>
      </c>
    </row>
    <row r="79" spans="1:33" x14ac:dyDescent="0.3">
      <c r="B79" s="35"/>
      <c r="C79" s="37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6"/>
    </row>
    <row r="80" spans="1:33" ht="17.25" thickBot="1" x14ac:dyDescent="0.35">
      <c r="B80" s="39"/>
      <c r="C80" s="41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8"/>
    </row>
  </sheetData>
  <mergeCells count="233">
    <mergeCell ref="B60:AA60"/>
    <mergeCell ref="B61:AA61"/>
    <mergeCell ref="A69:Z69"/>
    <mergeCell ref="B70:AA70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:AA3"/>
    <mergeCell ref="B4:Q4"/>
    <mergeCell ref="V4:AA4"/>
    <mergeCell ref="B6:E6"/>
    <mergeCell ref="F6:G6"/>
    <mergeCell ref="H6:I6"/>
    <mergeCell ref="J6:K6"/>
    <mergeCell ref="L6:M6"/>
    <mergeCell ref="N6:AA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B264-A456-4078-BED9-31F31B99CA05}">
  <dimension ref="A1:AI80"/>
  <sheetViews>
    <sheetView showGridLines="0" topLeftCell="A50" zoomScaleNormal="100" zoomScaleSheetLayoutView="100" workbookViewId="0">
      <selection activeCell="V19" sqref="V19:AA19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46000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15</v>
      </c>
      <c r="G8" s="236"/>
      <c r="H8" s="235">
        <f>SUM(H22:I27)</f>
        <v>12</v>
      </c>
      <c r="I8" s="236"/>
      <c r="J8" s="235">
        <f>SUM(J22:K27)</f>
        <v>1</v>
      </c>
      <c r="K8" s="236"/>
      <c r="L8" s="235">
        <f>SUM(L22:M27)</f>
        <v>2</v>
      </c>
      <c r="M8" s="236"/>
      <c r="N8" s="284" t="s">
        <v>170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 t="s">
        <v>184</v>
      </c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41</v>
      </c>
      <c r="G10" s="236"/>
      <c r="H10" s="235">
        <f>SUM(H7:I9)</f>
        <v>33</v>
      </c>
      <c r="I10" s="236"/>
      <c r="J10" s="235">
        <f>SUM(J7:K9)</f>
        <v>2</v>
      </c>
      <c r="K10" s="236"/>
      <c r="L10" s="235">
        <f>SUM(L7:M9)</f>
        <v>5</v>
      </c>
      <c r="M10" s="236"/>
      <c r="N10" s="284" t="s">
        <v>196</v>
      </c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104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197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4</v>
      </c>
      <c r="I25" s="174"/>
      <c r="J25" s="175">
        <v>0</v>
      </c>
      <c r="K25" s="174"/>
      <c r="L25" s="235">
        <v>1</v>
      </c>
      <c r="M25" s="236"/>
      <c r="N25" s="237" t="s">
        <v>182</v>
      </c>
      <c r="O25" s="238"/>
      <c r="P25" s="238"/>
      <c r="Q25" s="238"/>
      <c r="R25" s="238"/>
      <c r="S25" s="238"/>
      <c r="T25" s="238"/>
      <c r="U25" s="239"/>
      <c r="V25" s="243" t="s">
        <v>183</v>
      </c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1</v>
      </c>
      <c r="I26" s="174"/>
      <c r="J26" s="175">
        <v>1</v>
      </c>
      <c r="K26" s="174"/>
      <c r="L26" s="235">
        <v>0</v>
      </c>
      <c r="M26" s="236"/>
      <c r="N26" s="237" t="s">
        <v>172</v>
      </c>
      <c r="O26" s="238"/>
      <c r="P26" s="238"/>
      <c r="Q26" s="238"/>
      <c r="R26" s="238"/>
      <c r="S26" s="238"/>
      <c r="T26" s="238"/>
      <c r="U26" s="239"/>
      <c r="V26" s="240" t="s">
        <v>171</v>
      </c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236968</v>
      </c>
      <c r="G40" s="177"/>
      <c r="H40" s="177"/>
      <c r="I40" s="178"/>
      <c r="J40" s="176">
        <v>237659</v>
      </c>
      <c r="K40" s="177"/>
      <c r="L40" s="177"/>
      <c r="M40" s="178"/>
      <c r="N40" s="176">
        <f>J40-F40</f>
        <v>691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8127</v>
      </c>
      <c r="G41" s="168"/>
      <c r="H41" s="168"/>
      <c r="I41" s="169"/>
      <c r="J41" s="167">
        <v>8137</v>
      </c>
      <c r="K41" s="168"/>
      <c r="L41" s="168"/>
      <c r="M41" s="169"/>
      <c r="N41" s="167">
        <f>J41-F41</f>
        <v>10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1784.53</v>
      </c>
      <c r="G45" s="162"/>
      <c r="H45" s="162"/>
      <c r="I45" s="163"/>
      <c r="J45" s="161">
        <v>13443.34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45999</v>
      </c>
      <c r="C49" s="143"/>
      <c r="D49" s="144">
        <v>361</v>
      </c>
      <c r="E49" s="145"/>
      <c r="F49" s="145"/>
      <c r="G49" s="146"/>
      <c r="H49" s="144">
        <v>959</v>
      </c>
      <c r="I49" s="145"/>
      <c r="J49" s="145"/>
      <c r="K49" s="146"/>
      <c r="L49" s="144">
        <f>D49+H49</f>
        <v>1320</v>
      </c>
      <c r="M49" s="145"/>
      <c r="N49" s="146"/>
      <c r="O49" s="144">
        <v>11256</v>
      </c>
      <c r="P49" s="145"/>
      <c r="Q49" s="145"/>
      <c r="R49" s="147"/>
      <c r="S49" s="148">
        <v>911</v>
      </c>
      <c r="T49" s="145"/>
      <c r="U49" s="146"/>
      <c r="V49" s="135">
        <v>8041</v>
      </c>
      <c r="W49" s="136"/>
      <c r="X49" s="136"/>
      <c r="Y49" s="137"/>
      <c r="Z49" s="135">
        <f>AF48+V49</f>
        <v>571301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72307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1</v>
      </c>
      <c r="E56" s="117"/>
      <c r="F56" s="117"/>
      <c r="G56" s="117"/>
      <c r="H56" s="117"/>
      <c r="I56" s="118"/>
      <c r="J56" s="119">
        <v>85</v>
      </c>
      <c r="K56" s="120"/>
      <c r="L56" s="120"/>
      <c r="M56" s="121"/>
      <c r="N56" s="122">
        <v>33616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  <c r="AF56" s="2">
        <v>33917</v>
      </c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191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192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 t="s">
        <v>193</v>
      </c>
      <c r="C64" s="67"/>
      <c r="D64" s="67"/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187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/>
      <c r="C66" s="67"/>
      <c r="D66" s="67" t="s">
        <v>188</v>
      </c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E66" s="67"/>
      <c r="AF66" s="67"/>
      <c r="AG66" s="66"/>
    </row>
    <row r="67" spans="1:33" ht="15" customHeight="1" x14ac:dyDescent="0.3">
      <c r="B67" s="61" t="s">
        <v>190</v>
      </c>
      <c r="C67" s="67"/>
      <c r="D67" s="67"/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E67" s="67"/>
      <c r="AF67" s="67"/>
      <c r="AG67" s="66"/>
    </row>
    <row r="68" spans="1:33" ht="15" customHeight="1" thickBot="1" x14ac:dyDescent="0.35">
      <c r="B68" s="62"/>
      <c r="C68" s="41"/>
      <c r="D68" s="24" t="s">
        <v>189</v>
      </c>
      <c r="E68" s="4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2"/>
      <c r="AC68" s="77"/>
      <c r="AD68" s="67"/>
      <c r="AE68" s="67"/>
      <c r="AF68" s="67"/>
      <c r="AG68" s="66"/>
    </row>
    <row r="69" spans="1:33" ht="15" customHeight="1" x14ac:dyDescent="0.3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43"/>
      <c r="AE69"/>
    </row>
    <row r="70" spans="1:33" ht="15" customHeight="1" thickBot="1" x14ac:dyDescent="0.35">
      <c r="B70" s="93" t="s">
        <v>98</v>
      </c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</row>
    <row r="71" spans="1:33" ht="14.25" customHeight="1" x14ac:dyDescent="0.3">
      <c r="B71" s="35"/>
      <c r="C71" s="36"/>
      <c r="D71" s="37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5"/>
    </row>
    <row r="72" spans="1:33" ht="14.25" customHeight="1" thickBot="1" x14ac:dyDescent="0.35">
      <c r="B72" s="39"/>
      <c r="C72" s="40"/>
      <c r="D72" s="41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7"/>
    </row>
    <row r="73" spans="1:33" ht="14.25" customHeight="1" x14ac:dyDescent="0.3">
      <c r="B73" s="37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33" ht="15" customHeight="1" thickBot="1" x14ac:dyDescent="0.35">
      <c r="B74" s="48" t="s">
        <v>63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33" ht="15" customHeight="1" x14ac:dyDescent="0.3">
      <c r="B75" s="49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2"/>
    </row>
    <row r="76" spans="1:33" ht="15" customHeight="1" thickBot="1" x14ac:dyDescent="0.35">
      <c r="B76" s="39"/>
      <c r="C76" s="41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4"/>
    </row>
    <row r="78" spans="1:33" ht="18" thickBot="1" x14ac:dyDescent="0.35">
      <c r="B78" s="4" t="s">
        <v>175</v>
      </c>
    </row>
    <row r="79" spans="1:33" x14ac:dyDescent="0.3">
      <c r="B79" s="35"/>
      <c r="C79" s="37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6"/>
    </row>
    <row r="80" spans="1:33" ht="17.25" thickBot="1" x14ac:dyDescent="0.35">
      <c r="B80" s="39"/>
      <c r="C80" s="41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8"/>
    </row>
  </sheetData>
  <mergeCells count="233">
    <mergeCell ref="B60:AA60"/>
    <mergeCell ref="B61:AA61"/>
    <mergeCell ref="A69:Z69"/>
    <mergeCell ref="B70:AA70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:AA3"/>
    <mergeCell ref="B4:Q4"/>
    <mergeCell ref="V4:AA4"/>
    <mergeCell ref="B6:E6"/>
    <mergeCell ref="F6:G6"/>
    <mergeCell ref="H6:I6"/>
    <mergeCell ref="J6:K6"/>
    <mergeCell ref="L6:M6"/>
    <mergeCell ref="N6:AA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D293-6CCF-4176-8C78-DFD34988A22C}">
  <dimension ref="A1:AI82"/>
  <sheetViews>
    <sheetView showGridLines="0" topLeftCell="A46" zoomScaleNormal="100" zoomScaleSheetLayoutView="100" workbookViewId="0">
      <selection activeCell="AC4" sqref="AC4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45999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15</v>
      </c>
      <c r="G8" s="236"/>
      <c r="H8" s="235">
        <f>SUM(H22:I27)</f>
        <v>12</v>
      </c>
      <c r="I8" s="236"/>
      <c r="J8" s="235">
        <f>SUM(J22:K27)</f>
        <v>1</v>
      </c>
      <c r="K8" s="236"/>
      <c r="L8" s="235">
        <f>SUM(L22:M27)</f>
        <v>2</v>
      </c>
      <c r="M8" s="236"/>
      <c r="N8" s="284" t="s">
        <v>170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 t="s">
        <v>184</v>
      </c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41</v>
      </c>
      <c r="G10" s="236"/>
      <c r="H10" s="235">
        <f>SUM(H7:I9)</f>
        <v>33</v>
      </c>
      <c r="I10" s="236"/>
      <c r="J10" s="235">
        <f>SUM(J7:K9)</f>
        <v>2</v>
      </c>
      <c r="K10" s="236"/>
      <c r="L10" s="235">
        <f>SUM(L7:M9)</f>
        <v>5</v>
      </c>
      <c r="M10" s="236"/>
      <c r="N10" s="284" t="s">
        <v>178</v>
      </c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 t="s">
        <v>185</v>
      </c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129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5</v>
      </c>
      <c r="G25" s="174"/>
      <c r="H25" s="175">
        <f>F25-SUM(J25:M25)</f>
        <v>4</v>
      </c>
      <c r="I25" s="174"/>
      <c r="J25" s="175">
        <v>0</v>
      </c>
      <c r="K25" s="174"/>
      <c r="L25" s="235">
        <v>1</v>
      </c>
      <c r="M25" s="236"/>
      <c r="N25" s="237" t="s">
        <v>182</v>
      </c>
      <c r="O25" s="238"/>
      <c r="P25" s="238"/>
      <c r="Q25" s="238"/>
      <c r="R25" s="238"/>
      <c r="S25" s="238"/>
      <c r="T25" s="238"/>
      <c r="U25" s="239"/>
      <c r="V25" s="243" t="s">
        <v>183</v>
      </c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1</v>
      </c>
      <c r="I26" s="174"/>
      <c r="J26" s="175">
        <v>1</v>
      </c>
      <c r="K26" s="174"/>
      <c r="L26" s="235">
        <v>0</v>
      </c>
      <c r="M26" s="236"/>
      <c r="N26" s="237" t="s">
        <v>172</v>
      </c>
      <c r="O26" s="238"/>
      <c r="P26" s="238"/>
      <c r="Q26" s="238"/>
      <c r="R26" s="238"/>
      <c r="S26" s="238"/>
      <c r="T26" s="238"/>
      <c r="U26" s="239"/>
      <c r="V26" s="240" t="s">
        <v>171</v>
      </c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 t="s">
        <v>186</v>
      </c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236519</v>
      </c>
      <c r="G40" s="177"/>
      <c r="H40" s="177"/>
      <c r="I40" s="178"/>
      <c r="J40" s="176">
        <v>236968</v>
      </c>
      <c r="K40" s="177"/>
      <c r="L40" s="177"/>
      <c r="M40" s="178"/>
      <c r="N40" s="176">
        <f>J40-F40</f>
        <v>449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8120</v>
      </c>
      <c r="G41" s="168"/>
      <c r="H41" s="168"/>
      <c r="I41" s="169"/>
      <c r="J41" s="167">
        <v>8127</v>
      </c>
      <c r="K41" s="168"/>
      <c r="L41" s="168"/>
      <c r="M41" s="169"/>
      <c r="N41" s="167">
        <f>J41-F41</f>
        <v>7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2156.4899999999998</v>
      </c>
      <c r="G45" s="162"/>
      <c r="H45" s="162"/>
      <c r="I45" s="163"/>
      <c r="J45" s="161">
        <v>11658.81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x14ac:dyDescent="0.3">
      <c r="B49" s="294">
        <v>45996</v>
      </c>
      <c r="C49" s="295"/>
      <c r="D49" s="296">
        <v>456</v>
      </c>
      <c r="E49" s="140"/>
      <c r="F49" s="140"/>
      <c r="G49" s="297"/>
      <c r="H49" s="296">
        <v>1157</v>
      </c>
      <c r="I49" s="140"/>
      <c r="J49" s="140"/>
      <c r="K49" s="297"/>
      <c r="L49" s="296">
        <f t="shared" ref="L49:L50" si="3">D49+H49</f>
        <v>1613</v>
      </c>
      <c r="M49" s="140"/>
      <c r="N49" s="297"/>
      <c r="O49" s="296">
        <v>7207</v>
      </c>
      <c r="P49" s="140"/>
      <c r="Q49" s="140"/>
      <c r="R49" s="298"/>
      <c r="S49" s="299">
        <v>1168</v>
      </c>
      <c r="T49" s="140"/>
      <c r="U49" s="297"/>
      <c r="V49" s="300">
        <v>5169</v>
      </c>
      <c r="W49" s="141"/>
      <c r="X49" s="141"/>
      <c r="Y49" s="301"/>
      <c r="Z49" s="300">
        <f>AF48+V49</f>
        <v>568429</v>
      </c>
      <c r="AA49" s="302"/>
      <c r="AF49" s="2"/>
      <c r="AG49" s="2"/>
      <c r="AH49" s="2"/>
    </row>
    <row r="50" spans="2:34" ht="15" customHeight="1" x14ac:dyDescent="0.3">
      <c r="B50" s="303">
        <v>45997</v>
      </c>
      <c r="C50" s="304"/>
      <c r="D50" s="305">
        <v>434</v>
      </c>
      <c r="E50" s="306"/>
      <c r="F50" s="306"/>
      <c r="G50" s="307"/>
      <c r="H50" s="305">
        <v>1097</v>
      </c>
      <c r="I50" s="306"/>
      <c r="J50" s="306"/>
      <c r="K50" s="307"/>
      <c r="L50" s="305">
        <f t="shared" si="3"/>
        <v>1531</v>
      </c>
      <c r="M50" s="306"/>
      <c r="N50" s="307"/>
      <c r="O50" s="305">
        <v>8738</v>
      </c>
      <c r="P50" s="306"/>
      <c r="Q50" s="306"/>
      <c r="R50" s="308"/>
      <c r="S50" s="309">
        <v>1110</v>
      </c>
      <c r="T50" s="306"/>
      <c r="U50" s="307"/>
      <c r="V50" s="310">
        <v>6279</v>
      </c>
      <c r="W50" s="311"/>
      <c r="X50" s="311"/>
      <c r="Y50" s="312"/>
      <c r="Z50" s="310">
        <f>AF48+V50</f>
        <v>569539</v>
      </c>
      <c r="AA50" s="313"/>
      <c r="AF50" s="2"/>
      <c r="AG50" s="2"/>
      <c r="AH50" s="2"/>
    </row>
    <row r="51" spans="2:34" ht="15" customHeight="1" thickBot="1" x14ac:dyDescent="0.35">
      <c r="B51" s="142">
        <v>45998</v>
      </c>
      <c r="C51" s="143"/>
      <c r="D51" s="144">
        <v>333</v>
      </c>
      <c r="E51" s="145"/>
      <c r="F51" s="145"/>
      <c r="G51" s="146"/>
      <c r="H51" s="144">
        <v>865</v>
      </c>
      <c r="I51" s="145"/>
      <c r="J51" s="145"/>
      <c r="K51" s="146"/>
      <c r="L51" s="144">
        <f>D51+H51</f>
        <v>1198</v>
      </c>
      <c r="M51" s="145"/>
      <c r="N51" s="146"/>
      <c r="O51" s="144">
        <v>9936</v>
      </c>
      <c r="P51" s="145"/>
      <c r="Q51" s="145"/>
      <c r="R51" s="147"/>
      <c r="S51" s="148">
        <v>851</v>
      </c>
      <c r="T51" s="145"/>
      <c r="U51" s="146"/>
      <c r="V51" s="135">
        <v>7130</v>
      </c>
      <c r="W51" s="136"/>
      <c r="X51" s="136"/>
      <c r="Y51" s="137"/>
      <c r="Z51" s="135">
        <f>AF48+V51</f>
        <v>570390</v>
      </c>
      <c r="AA51" s="138"/>
      <c r="AF51" s="34"/>
      <c r="AG51" s="2"/>
      <c r="AH51" s="2"/>
    </row>
    <row r="52" spans="2:34" ht="15" customHeight="1" x14ac:dyDescent="0.3">
      <c r="B52" s="139"/>
      <c r="C52" s="139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1"/>
      <c r="W52" s="141"/>
      <c r="X52" s="141"/>
      <c r="Y52" s="141"/>
      <c r="Z52" s="141"/>
      <c r="AA52" s="141"/>
    </row>
    <row r="53" spans="2:34" ht="15" customHeight="1" thickBot="1" x14ac:dyDescent="0.35">
      <c r="B53" s="125" t="s">
        <v>95</v>
      </c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spans="2:34" ht="15" customHeight="1" thickBot="1" x14ac:dyDescent="0.35">
      <c r="B54" s="126" t="s">
        <v>93</v>
      </c>
      <c r="C54" s="127"/>
      <c r="D54" s="127"/>
      <c r="E54" s="127"/>
      <c r="F54" s="127"/>
      <c r="G54" s="128"/>
      <c r="H54" s="129">
        <v>791</v>
      </c>
      <c r="I54" s="130"/>
      <c r="J54" s="130"/>
      <c r="K54" s="130"/>
      <c r="L54" s="130"/>
      <c r="M54" s="130"/>
      <c r="N54" s="131"/>
      <c r="O54" s="129" t="s">
        <v>94</v>
      </c>
      <c r="P54" s="130"/>
      <c r="Q54" s="130"/>
      <c r="R54" s="130"/>
      <c r="S54" s="130"/>
      <c r="T54" s="130"/>
      <c r="U54" s="131"/>
      <c r="V54" s="132">
        <v>72307</v>
      </c>
      <c r="W54" s="133"/>
      <c r="X54" s="133"/>
      <c r="Y54" s="133"/>
      <c r="Z54" s="133"/>
      <c r="AA54" s="134"/>
    </row>
    <row r="55" spans="2:34" ht="15" customHeight="1" x14ac:dyDescent="0.3">
      <c r="B55" s="68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70"/>
      <c r="W55" s="70"/>
      <c r="X55" s="70"/>
      <c r="Y55" s="70"/>
      <c r="Z55" s="70"/>
      <c r="AA55" s="70"/>
    </row>
    <row r="56" spans="2:34" ht="15" customHeight="1" thickBot="1" x14ac:dyDescent="0.35">
      <c r="B56" s="91" t="s">
        <v>52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</row>
    <row r="57" spans="2:34" ht="15" customHeight="1" x14ac:dyDescent="0.3">
      <c r="B57" s="95" t="s">
        <v>53</v>
      </c>
      <c r="C57" s="96"/>
      <c r="D57" s="99" t="s">
        <v>54</v>
      </c>
      <c r="E57" s="100"/>
      <c r="F57" s="100"/>
      <c r="G57" s="100"/>
      <c r="H57" s="100"/>
      <c r="I57" s="101"/>
      <c r="J57" s="110" t="s">
        <v>55</v>
      </c>
      <c r="K57" s="111"/>
      <c r="L57" s="111"/>
      <c r="M57" s="112"/>
      <c r="N57" s="110" t="s">
        <v>56</v>
      </c>
      <c r="O57" s="111"/>
      <c r="P57" s="111"/>
      <c r="Q57" s="112"/>
      <c r="R57" s="113" t="s">
        <v>57</v>
      </c>
      <c r="S57" s="114"/>
      <c r="T57" s="114"/>
      <c r="U57" s="114"/>
      <c r="V57" s="114"/>
      <c r="W57" s="114"/>
      <c r="X57" s="114"/>
      <c r="Y57" s="114"/>
      <c r="Z57" s="114"/>
      <c r="AA57" s="115"/>
    </row>
    <row r="58" spans="2:34" ht="15" customHeight="1" thickBot="1" x14ac:dyDescent="0.35">
      <c r="B58" s="97"/>
      <c r="C58" s="98"/>
      <c r="D58" s="116">
        <v>2</v>
      </c>
      <c r="E58" s="117"/>
      <c r="F58" s="117"/>
      <c r="G58" s="117"/>
      <c r="H58" s="117"/>
      <c r="I58" s="118"/>
      <c r="J58" s="119">
        <v>84</v>
      </c>
      <c r="K58" s="120"/>
      <c r="L58" s="120"/>
      <c r="M58" s="121"/>
      <c r="N58" s="122">
        <v>20099</v>
      </c>
      <c r="O58" s="123"/>
      <c r="P58" s="123"/>
      <c r="Q58" s="124"/>
      <c r="R58" s="106"/>
      <c r="S58" s="107"/>
      <c r="T58" s="107"/>
      <c r="U58" s="107"/>
      <c r="V58" s="107"/>
      <c r="W58" s="107"/>
      <c r="X58" s="107"/>
      <c r="Y58" s="107"/>
      <c r="Z58" s="107"/>
      <c r="AA58" s="109"/>
    </row>
    <row r="59" spans="2:34" ht="15" customHeight="1" thickBot="1" x14ac:dyDescent="0.35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 t="s">
        <v>67</v>
      </c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 spans="2:34" ht="15" customHeight="1" x14ac:dyDescent="0.3">
      <c r="B60" s="95" t="s">
        <v>58</v>
      </c>
      <c r="C60" s="96"/>
      <c r="D60" s="99" t="s">
        <v>59</v>
      </c>
      <c r="E60" s="100"/>
      <c r="F60" s="100"/>
      <c r="G60" s="100"/>
      <c r="H60" s="100"/>
      <c r="I60" s="101"/>
      <c r="J60" s="99" t="s">
        <v>60</v>
      </c>
      <c r="K60" s="100"/>
      <c r="L60" s="100"/>
      <c r="M60" s="101"/>
      <c r="N60" s="99" t="s">
        <v>61</v>
      </c>
      <c r="O60" s="100"/>
      <c r="P60" s="100"/>
      <c r="Q60" s="101"/>
      <c r="R60" s="99" t="s">
        <v>57</v>
      </c>
      <c r="S60" s="100"/>
      <c r="T60" s="100"/>
      <c r="U60" s="100"/>
      <c r="V60" s="100"/>
      <c r="W60" s="100"/>
      <c r="X60" s="100"/>
      <c r="Y60" s="100"/>
      <c r="Z60" s="100"/>
      <c r="AA60" s="102"/>
    </row>
    <row r="61" spans="2:34" ht="15" customHeight="1" thickBot="1" x14ac:dyDescent="0.35">
      <c r="B61" s="97"/>
      <c r="C61" s="98"/>
      <c r="D61" s="103" t="s">
        <v>62</v>
      </c>
      <c r="E61" s="104"/>
      <c r="F61" s="104"/>
      <c r="G61" s="104"/>
      <c r="H61" s="104"/>
      <c r="I61" s="105"/>
      <c r="J61" s="106" t="s">
        <v>62</v>
      </c>
      <c r="K61" s="107"/>
      <c r="L61" s="107"/>
      <c r="M61" s="108"/>
      <c r="N61" s="106" t="s">
        <v>62</v>
      </c>
      <c r="O61" s="107"/>
      <c r="P61" s="107"/>
      <c r="Q61" s="108"/>
      <c r="R61" s="106"/>
      <c r="S61" s="107"/>
      <c r="T61" s="107"/>
      <c r="U61" s="107"/>
      <c r="V61" s="107"/>
      <c r="W61" s="107"/>
      <c r="X61" s="107"/>
      <c r="Y61" s="107"/>
      <c r="Z61" s="107"/>
      <c r="AA61" s="109"/>
    </row>
    <row r="62" spans="2:34" ht="15" customHeight="1" x14ac:dyDescent="0.3"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</row>
    <row r="63" spans="2:34" ht="15" customHeight="1" thickBot="1" x14ac:dyDescent="0.35">
      <c r="B63" s="91" t="s">
        <v>64</v>
      </c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H63" s="1" t="s">
        <v>83</v>
      </c>
    </row>
    <row r="64" spans="2:34" ht="15" customHeight="1" x14ac:dyDescent="0.3">
      <c r="B64" s="71" t="s">
        <v>173</v>
      </c>
      <c r="C64" s="37"/>
      <c r="D64" s="37"/>
      <c r="E64" s="37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72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174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179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x14ac:dyDescent="0.3">
      <c r="B67" s="61"/>
      <c r="C67" s="67"/>
      <c r="D67" s="67" t="s">
        <v>176</v>
      </c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D67" s="67"/>
      <c r="AE67" s="67"/>
      <c r="AF67" s="67"/>
      <c r="AG67" s="66"/>
    </row>
    <row r="68" spans="1:33" ht="15" customHeight="1" x14ac:dyDescent="0.3">
      <c r="B68" s="61"/>
      <c r="C68" s="67"/>
      <c r="D68" s="67" t="s">
        <v>177</v>
      </c>
      <c r="E68" s="67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38"/>
      <c r="AC68" s="77"/>
      <c r="AD68" s="67"/>
      <c r="AE68" s="67"/>
      <c r="AF68" s="67"/>
      <c r="AG68" s="66"/>
    </row>
    <row r="69" spans="1:33" ht="15" customHeight="1" x14ac:dyDescent="0.3">
      <c r="B69" s="61" t="s">
        <v>180</v>
      </c>
      <c r="C69" s="67"/>
      <c r="D69" s="67"/>
      <c r="E69" s="67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38"/>
      <c r="AC69" s="77"/>
      <c r="AE69" s="67"/>
      <c r="AF69" s="67"/>
      <c r="AG69" s="66"/>
    </row>
    <row r="70" spans="1:33" ht="15" customHeight="1" thickBot="1" x14ac:dyDescent="0.35">
      <c r="B70" s="62"/>
      <c r="C70" s="41"/>
      <c r="D70" s="24" t="s">
        <v>181</v>
      </c>
      <c r="E70" s="41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2"/>
      <c r="AC70" s="77"/>
      <c r="AD70" s="67"/>
      <c r="AE70" s="67"/>
      <c r="AF70" s="67"/>
      <c r="AG70" s="66"/>
    </row>
    <row r="71" spans="1:33" ht="15" customHeight="1" x14ac:dyDescent="0.3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43"/>
      <c r="AE71"/>
    </row>
    <row r="72" spans="1:33" ht="15" customHeight="1" thickBot="1" x14ac:dyDescent="0.35">
      <c r="B72" s="93" t="s">
        <v>98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</row>
    <row r="73" spans="1:33" ht="14.25" customHeight="1" x14ac:dyDescent="0.3">
      <c r="B73" s="35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5"/>
    </row>
    <row r="74" spans="1:33" ht="14.25" customHeight="1" thickBot="1" x14ac:dyDescent="0.35">
      <c r="B74" s="39"/>
      <c r="C74" s="40"/>
      <c r="D74" s="41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7"/>
    </row>
    <row r="75" spans="1:33" ht="14.25" customHeight="1" x14ac:dyDescent="0.3">
      <c r="B75" s="37"/>
      <c r="C75" s="36"/>
      <c r="D75" s="37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33" ht="15" customHeight="1" thickBot="1" x14ac:dyDescent="0.35">
      <c r="B76" s="48" t="s">
        <v>63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33" ht="15" customHeight="1" x14ac:dyDescent="0.3">
      <c r="B77" s="49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2"/>
    </row>
    <row r="78" spans="1:33" ht="15" customHeight="1" thickBot="1" x14ac:dyDescent="0.35">
      <c r="B78" s="39"/>
      <c r="C78" s="41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4"/>
    </row>
    <row r="80" spans="1:33" ht="18" thickBot="1" x14ac:dyDescent="0.35">
      <c r="B80" s="4" t="s">
        <v>175</v>
      </c>
    </row>
    <row r="81" spans="2:27" x14ac:dyDescent="0.3">
      <c r="B81" s="35"/>
      <c r="C81" s="37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6"/>
    </row>
    <row r="82" spans="2:27" ht="17.25" thickBot="1" x14ac:dyDescent="0.35">
      <c r="B82" s="39"/>
      <c r="C82" s="41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8"/>
    </row>
  </sheetData>
  <mergeCells count="249">
    <mergeCell ref="H49:K49"/>
    <mergeCell ref="O49:R49"/>
    <mergeCell ref="S49:U49"/>
    <mergeCell ref="V49:Y49"/>
    <mergeCell ref="B50:C50"/>
    <mergeCell ref="D50:G50"/>
    <mergeCell ref="H50:K50"/>
    <mergeCell ref="O50:R50"/>
    <mergeCell ref="S50:U50"/>
    <mergeCell ref="V50:Y50"/>
    <mergeCell ref="B62:AA62"/>
    <mergeCell ref="B63:AA63"/>
    <mergeCell ref="A71:Z71"/>
    <mergeCell ref="B72:AA72"/>
    <mergeCell ref="L49:N49"/>
    <mergeCell ref="L50:N50"/>
    <mergeCell ref="Z49:AA49"/>
    <mergeCell ref="Z50:AA50"/>
    <mergeCell ref="B49:C49"/>
    <mergeCell ref="D49:G49"/>
    <mergeCell ref="R59:AA59"/>
    <mergeCell ref="B60:C61"/>
    <mergeCell ref="D60:I60"/>
    <mergeCell ref="J60:M60"/>
    <mergeCell ref="N60:Q60"/>
    <mergeCell ref="R60:AA60"/>
    <mergeCell ref="D61:I61"/>
    <mergeCell ref="J61:M61"/>
    <mergeCell ref="N61:Q61"/>
    <mergeCell ref="R61:AA61"/>
    <mergeCell ref="B57:C58"/>
    <mergeCell ref="D57:I57"/>
    <mergeCell ref="J57:M57"/>
    <mergeCell ref="N57:Q57"/>
    <mergeCell ref="R57:AA57"/>
    <mergeCell ref="D58:I58"/>
    <mergeCell ref="J58:M58"/>
    <mergeCell ref="N58:Q58"/>
    <mergeCell ref="R58:AA58"/>
    <mergeCell ref="B53:AA53"/>
    <mergeCell ref="B54:G54"/>
    <mergeCell ref="H54:N54"/>
    <mergeCell ref="O54:U54"/>
    <mergeCell ref="V54:AA54"/>
    <mergeCell ref="B56:AA56"/>
    <mergeCell ref="V51:Y51"/>
    <mergeCell ref="Z51:AA51"/>
    <mergeCell ref="B52:C52"/>
    <mergeCell ref="D52:G52"/>
    <mergeCell ref="H52:K52"/>
    <mergeCell ref="L52:N52"/>
    <mergeCell ref="O52:R52"/>
    <mergeCell ref="S52:U52"/>
    <mergeCell ref="V52:Y52"/>
    <mergeCell ref="Z52:AA52"/>
    <mergeCell ref="B51:C51"/>
    <mergeCell ref="D51:G51"/>
    <mergeCell ref="H51:K51"/>
    <mergeCell ref="L51:N51"/>
    <mergeCell ref="O51:R51"/>
    <mergeCell ref="S51:U51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:AA3"/>
    <mergeCell ref="B4:Q4"/>
    <mergeCell ref="V4:AA4"/>
    <mergeCell ref="B6:E6"/>
    <mergeCell ref="F6:G6"/>
    <mergeCell ref="H6:I6"/>
    <mergeCell ref="J6:K6"/>
    <mergeCell ref="L6:M6"/>
    <mergeCell ref="N6:AA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845A-8D34-476D-BB27-736BD0F94BF0}">
  <dimension ref="A1:AI79"/>
  <sheetViews>
    <sheetView showGridLines="0" topLeftCell="A51" zoomScaleNormal="100" zoomScaleSheetLayoutView="100" workbookViewId="0">
      <selection activeCell="N25" sqref="N25:U25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45996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16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16</v>
      </c>
      <c r="G8" s="236"/>
      <c r="H8" s="235">
        <f>SUM(H22:I27)</f>
        <v>13</v>
      </c>
      <c r="I8" s="236"/>
      <c r="J8" s="235">
        <f>SUM(J22:K27)</f>
        <v>0</v>
      </c>
      <c r="K8" s="236"/>
      <c r="L8" s="235">
        <f>SUM(L22:M27)</f>
        <v>3</v>
      </c>
      <c r="M8" s="236"/>
      <c r="N8" s="284" t="s">
        <v>163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42</v>
      </c>
      <c r="G10" s="236"/>
      <c r="H10" s="235">
        <f>SUM(H7:I9)</f>
        <v>34</v>
      </c>
      <c r="I10" s="236"/>
      <c r="J10" s="235">
        <f>SUM(J7:K9)</f>
        <v>1</v>
      </c>
      <c r="K10" s="236"/>
      <c r="L10" s="235">
        <f>SUM(L7:M9)</f>
        <v>6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104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6</v>
      </c>
      <c r="I18" s="174"/>
      <c r="J18" s="175">
        <v>0</v>
      </c>
      <c r="K18" s="174"/>
      <c r="L18" s="235">
        <v>1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6</v>
      </c>
      <c r="G25" s="174"/>
      <c r="H25" s="175">
        <f>F25-SUM(J25:M25)</f>
        <v>5</v>
      </c>
      <c r="I25" s="174"/>
      <c r="J25" s="175">
        <v>0</v>
      </c>
      <c r="K25" s="174"/>
      <c r="L25" s="235">
        <v>1</v>
      </c>
      <c r="M25" s="236"/>
      <c r="N25" s="237" t="s">
        <v>166</v>
      </c>
      <c r="O25" s="238"/>
      <c r="P25" s="238"/>
      <c r="Q25" s="238"/>
      <c r="R25" s="238"/>
      <c r="S25" s="238"/>
      <c r="T25" s="238"/>
      <c r="U25" s="239"/>
      <c r="V25" s="243" t="s">
        <v>159</v>
      </c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1</v>
      </c>
      <c r="I26" s="174"/>
      <c r="J26" s="175">
        <v>0</v>
      </c>
      <c r="K26" s="174"/>
      <c r="L26" s="235">
        <v>1</v>
      </c>
      <c r="M26" s="236"/>
      <c r="N26" s="237" t="s">
        <v>164</v>
      </c>
      <c r="O26" s="238"/>
      <c r="P26" s="238"/>
      <c r="Q26" s="238"/>
      <c r="R26" s="238"/>
      <c r="S26" s="238"/>
      <c r="T26" s="238"/>
      <c r="U26" s="239"/>
      <c r="V26" s="240" t="s">
        <v>165</v>
      </c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236148</v>
      </c>
      <c r="G40" s="177"/>
      <c r="H40" s="177"/>
      <c r="I40" s="178"/>
      <c r="J40" s="176">
        <v>236519</v>
      </c>
      <c r="K40" s="177"/>
      <c r="L40" s="177"/>
      <c r="M40" s="178"/>
      <c r="N40" s="176">
        <f>J40-F40</f>
        <v>371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8112</v>
      </c>
      <c r="G41" s="168"/>
      <c r="H41" s="168"/>
      <c r="I41" s="169"/>
      <c r="J41" s="167">
        <v>8120</v>
      </c>
      <c r="K41" s="168"/>
      <c r="L41" s="168"/>
      <c r="M41" s="169"/>
      <c r="N41" s="167">
        <f>J41-F41</f>
        <v>8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1847.92</v>
      </c>
      <c r="G45" s="162"/>
      <c r="H45" s="162"/>
      <c r="I45" s="163"/>
      <c r="J45" s="161">
        <v>8782.74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45995</v>
      </c>
      <c r="C49" s="143"/>
      <c r="D49" s="144">
        <v>419</v>
      </c>
      <c r="E49" s="145"/>
      <c r="F49" s="145"/>
      <c r="G49" s="146"/>
      <c r="H49" s="144">
        <v>1137</v>
      </c>
      <c r="I49" s="145"/>
      <c r="J49" s="145"/>
      <c r="K49" s="146"/>
      <c r="L49" s="144">
        <f>D49+H49</f>
        <v>1556</v>
      </c>
      <c r="M49" s="145"/>
      <c r="N49" s="146"/>
      <c r="O49" s="144">
        <v>4060</v>
      </c>
      <c r="P49" s="145"/>
      <c r="Q49" s="145"/>
      <c r="R49" s="147"/>
      <c r="S49" s="148">
        <v>1135</v>
      </c>
      <c r="T49" s="145"/>
      <c r="U49" s="146"/>
      <c r="V49" s="135">
        <v>4001</v>
      </c>
      <c r="W49" s="136"/>
      <c r="X49" s="136"/>
      <c r="Y49" s="137"/>
      <c r="Z49" s="135">
        <f>AF48+V49</f>
        <v>567261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72307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1</v>
      </c>
      <c r="E56" s="117"/>
      <c r="F56" s="117"/>
      <c r="G56" s="117"/>
      <c r="H56" s="117"/>
      <c r="I56" s="118"/>
      <c r="J56" s="119">
        <v>88</v>
      </c>
      <c r="K56" s="120"/>
      <c r="L56" s="120"/>
      <c r="M56" s="121"/>
      <c r="N56" s="122">
        <v>33605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162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161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 t="s">
        <v>160</v>
      </c>
      <c r="C64" s="67"/>
      <c r="D64" s="67"/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168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167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thickBot="1" x14ac:dyDescent="0.35">
      <c r="B67" s="62"/>
      <c r="C67" s="41"/>
      <c r="D67" s="24" t="s">
        <v>169</v>
      </c>
      <c r="E67" s="41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2"/>
      <c r="AC67" s="77"/>
      <c r="AD67" s="67"/>
      <c r="AE67" s="67"/>
      <c r="AF67" s="67"/>
      <c r="AG67" s="66"/>
    </row>
    <row r="68" spans="1:33" ht="15" customHeight="1" x14ac:dyDescent="0.3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43"/>
      <c r="AE68"/>
    </row>
    <row r="69" spans="1:33" ht="15" customHeight="1" thickBot="1" x14ac:dyDescent="0.35">
      <c r="B69" s="93" t="s">
        <v>98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</row>
    <row r="70" spans="1:33" ht="14.25" customHeight="1" x14ac:dyDescent="0.3">
      <c r="B70" s="35"/>
      <c r="C70" s="36"/>
      <c r="D70" s="37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5"/>
    </row>
    <row r="71" spans="1:33" ht="14.25" customHeight="1" thickBot="1" x14ac:dyDescent="0.35">
      <c r="B71" s="39"/>
      <c r="C71" s="40"/>
      <c r="D71" s="41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7"/>
    </row>
    <row r="72" spans="1:33" ht="14.25" customHeight="1" x14ac:dyDescent="0.3">
      <c r="B72" s="37"/>
      <c r="C72" s="36"/>
      <c r="D72" s="37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:33" ht="15" customHeight="1" thickBot="1" x14ac:dyDescent="0.35">
      <c r="B73" s="48" t="s">
        <v>63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33" ht="15" customHeight="1" x14ac:dyDescent="0.3">
      <c r="B74" s="49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2"/>
    </row>
    <row r="75" spans="1:33" ht="15" customHeight="1" thickBot="1" x14ac:dyDescent="0.35">
      <c r="B75" s="39"/>
      <c r="C75" s="41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4"/>
    </row>
    <row r="77" spans="1:33" ht="18" thickBot="1" x14ac:dyDescent="0.35">
      <c r="B77" s="4" t="s">
        <v>128</v>
      </c>
    </row>
    <row r="78" spans="1:33" x14ac:dyDescent="0.3">
      <c r="B78" s="35"/>
      <c r="C78" s="37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6"/>
    </row>
    <row r="79" spans="1:33" ht="17.25" thickBot="1" x14ac:dyDescent="0.35">
      <c r="B79" s="39"/>
      <c r="C79" s="41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8"/>
    </row>
  </sheetData>
  <mergeCells count="233">
    <mergeCell ref="B60:AA60"/>
    <mergeCell ref="B61:AA61"/>
    <mergeCell ref="A68:Z68"/>
    <mergeCell ref="B69:AA69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:AA3"/>
    <mergeCell ref="B4:Q4"/>
    <mergeCell ref="V4:AA4"/>
    <mergeCell ref="B6:E6"/>
    <mergeCell ref="F6:G6"/>
    <mergeCell ref="H6:I6"/>
    <mergeCell ref="J6:K6"/>
    <mergeCell ref="L6:M6"/>
    <mergeCell ref="N6:AA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D119-C230-4D1E-93E0-8E7F32A8C0D5}">
  <dimension ref="A1:AI80"/>
  <sheetViews>
    <sheetView showGridLines="0" topLeftCell="A46" zoomScaleNormal="100" zoomScaleSheetLayoutView="100" workbookViewId="0">
      <selection activeCell="N10" sqref="N10:AA10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45995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15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16</v>
      </c>
      <c r="G8" s="236"/>
      <c r="H8" s="235">
        <f>SUM(H22:I27)</f>
        <v>15</v>
      </c>
      <c r="I8" s="236"/>
      <c r="J8" s="235">
        <f>SUM(J22:K27)</f>
        <v>0</v>
      </c>
      <c r="K8" s="236"/>
      <c r="L8" s="235">
        <f>SUM(L22:M27)</f>
        <v>1</v>
      </c>
      <c r="M8" s="236"/>
      <c r="N8" s="284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42</v>
      </c>
      <c r="G10" s="236"/>
      <c r="H10" s="235">
        <f>SUM(H7:I9)</f>
        <v>35</v>
      </c>
      <c r="I10" s="236"/>
      <c r="J10" s="235">
        <f>SUM(J7:K9)</f>
        <v>1</v>
      </c>
      <c r="K10" s="236"/>
      <c r="L10" s="235">
        <f>SUM(L7:M9)</f>
        <v>4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129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5</v>
      </c>
      <c r="I18" s="174"/>
      <c r="J18" s="175">
        <v>0</v>
      </c>
      <c r="K18" s="174"/>
      <c r="L18" s="235">
        <v>2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6</v>
      </c>
      <c r="G25" s="174"/>
      <c r="H25" s="175">
        <f>F25-SUM(J25:M25)</f>
        <v>6</v>
      </c>
      <c r="I25" s="174"/>
      <c r="J25" s="175">
        <v>0</v>
      </c>
      <c r="K25" s="174"/>
      <c r="L25" s="235">
        <v>0</v>
      </c>
      <c r="M25" s="236"/>
      <c r="N25" s="237" t="s">
        <v>116</v>
      </c>
      <c r="O25" s="238"/>
      <c r="P25" s="238"/>
      <c r="Q25" s="238"/>
      <c r="R25" s="238"/>
      <c r="S25" s="238"/>
      <c r="T25" s="238"/>
      <c r="U25" s="239"/>
      <c r="V25" s="243"/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2</v>
      </c>
      <c r="I26" s="174"/>
      <c r="J26" s="175">
        <v>0</v>
      </c>
      <c r="K26" s="174"/>
      <c r="L26" s="235">
        <v>0</v>
      </c>
      <c r="M26" s="236"/>
      <c r="N26" s="237" t="s">
        <v>140</v>
      </c>
      <c r="O26" s="238"/>
      <c r="P26" s="238"/>
      <c r="Q26" s="238"/>
      <c r="R26" s="238"/>
      <c r="S26" s="238"/>
      <c r="T26" s="238"/>
      <c r="U26" s="239"/>
      <c r="V26" s="240"/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235405</v>
      </c>
      <c r="G40" s="177"/>
      <c r="H40" s="177"/>
      <c r="I40" s="178"/>
      <c r="J40" s="176">
        <v>236148</v>
      </c>
      <c r="K40" s="177"/>
      <c r="L40" s="177"/>
      <c r="M40" s="178"/>
      <c r="N40" s="176">
        <f>J40-F40</f>
        <v>743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8102</v>
      </c>
      <c r="G41" s="168"/>
      <c r="H41" s="168"/>
      <c r="I41" s="169"/>
      <c r="J41" s="167">
        <v>8112</v>
      </c>
      <c r="K41" s="168"/>
      <c r="L41" s="168"/>
      <c r="M41" s="169"/>
      <c r="N41" s="167">
        <f>J41-F41</f>
        <v>10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2406.61</v>
      </c>
      <c r="G45" s="162"/>
      <c r="H45" s="162"/>
      <c r="I45" s="163"/>
      <c r="J45" s="161">
        <v>6934.82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45994</v>
      </c>
      <c r="C49" s="143"/>
      <c r="D49" s="144">
        <v>452</v>
      </c>
      <c r="E49" s="145"/>
      <c r="F49" s="145"/>
      <c r="G49" s="146"/>
      <c r="H49" s="144">
        <v>1160</v>
      </c>
      <c r="I49" s="145"/>
      <c r="J49" s="145"/>
      <c r="K49" s="146"/>
      <c r="L49" s="144">
        <f>D49+H49</f>
        <v>1612</v>
      </c>
      <c r="M49" s="145"/>
      <c r="N49" s="146"/>
      <c r="O49" s="144">
        <v>4116</v>
      </c>
      <c r="P49" s="145"/>
      <c r="Q49" s="145"/>
      <c r="R49" s="147"/>
      <c r="S49" s="148">
        <v>1150</v>
      </c>
      <c r="T49" s="145"/>
      <c r="U49" s="146"/>
      <c r="V49" s="135">
        <v>2866</v>
      </c>
      <c r="W49" s="136"/>
      <c r="X49" s="136"/>
      <c r="Y49" s="137"/>
      <c r="Z49" s="135">
        <f>AF48+V49</f>
        <v>566126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72296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E54" s="1">
        <v>8682</v>
      </c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2</v>
      </c>
      <c r="E56" s="117"/>
      <c r="F56" s="117"/>
      <c r="G56" s="117"/>
      <c r="H56" s="117"/>
      <c r="I56" s="118"/>
      <c r="J56" s="119">
        <v>85</v>
      </c>
      <c r="K56" s="120"/>
      <c r="L56" s="120"/>
      <c r="M56" s="121"/>
      <c r="N56" s="122">
        <v>20088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152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153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 t="s">
        <v>154</v>
      </c>
      <c r="C64" s="67"/>
      <c r="D64" s="67"/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156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/>
      <c r="C66" s="67"/>
      <c r="D66" s="67" t="s">
        <v>155</v>
      </c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x14ac:dyDescent="0.3">
      <c r="B67" s="61" t="s">
        <v>157</v>
      </c>
      <c r="C67" s="67"/>
      <c r="D67" s="67"/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D67" s="67"/>
      <c r="AE67" s="67"/>
      <c r="AF67" s="67"/>
      <c r="AG67" s="66"/>
    </row>
    <row r="68" spans="1:33" ht="15" customHeight="1" thickBot="1" x14ac:dyDescent="0.35">
      <c r="B68" s="62"/>
      <c r="C68" s="41"/>
      <c r="D68" s="24" t="s">
        <v>158</v>
      </c>
      <c r="E68" s="4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2"/>
      <c r="AC68" s="77"/>
      <c r="AD68" s="67"/>
      <c r="AE68" s="67"/>
      <c r="AF68" s="67"/>
      <c r="AG68" s="66"/>
    </row>
    <row r="69" spans="1:33" ht="15" customHeight="1" x14ac:dyDescent="0.3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43"/>
      <c r="AE69"/>
    </row>
    <row r="70" spans="1:33" ht="15" customHeight="1" thickBot="1" x14ac:dyDescent="0.35">
      <c r="B70" s="93" t="s">
        <v>98</v>
      </c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</row>
    <row r="71" spans="1:33" ht="14.25" customHeight="1" x14ac:dyDescent="0.3">
      <c r="B71" s="35"/>
      <c r="C71" s="36"/>
      <c r="D71" s="37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5"/>
    </row>
    <row r="72" spans="1:33" ht="14.25" customHeight="1" thickBot="1" x14ac:dyDescent="0.35">
      <c r="B72" s="39"/>
      <c r="C72" s="40"/>
      <c r="D72" s="41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7"/>
    </row>
    <row r="73" spans="1:33" ht="14.25" customHeight="1" x14ac:dyDescent="0.3">
      <c r="B73" s="37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33" ht="15" customHeight="1" thickBot="1" x14ac:dyDescent="0.35">
      <c r="B74" s="48" t="s">
        <v>63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33" ht="15" customHeight="1" x14ac:dyDescent="0.3">
      <c r="B75" s="49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2"/>
    </row>
    <row r="76" spans="1:33" ht="15" customHeight="1" thickBot="1" x14ac:dyDescent="0.35">
      <c r="B76" s="39"/>
      <c r="C76" s="41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4"/>
    </row>
    <row r="78" spans="1:33" ht="18" thickBot="1" x14ac:dyDescent="0.35">
      <c r="B78" s="4" t="s">
        <v>128</v>
      </c>
    </row>
    <row r="79" spans="1:33" x14ac:dyDescent="0.3">
      <c r="B79" s="35"/>
      <c r="C79" s="37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6"/>
    </row>
    <row r="80" spans="1:33" ht="17.25" thickBot="1" x14ac:dyDescent="0.35">
      <c r="B80" s="39"/>
      <c r="C80" s="41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8"/>
    </row>
  </sheetData>
  <mergeCells count="233">
    <mergeCell ref="B60:AA60"/>
    <mergeCell ref="B61:AA61"/>
    <mergeCell ref="A69:Z69"/>
    <mergeCell ref="B70:AA70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:AA3"/>
    <mergeCell ref="B4:Q4"/>
    <mergeCell ref="V4:AA4"/>
    <mergeCell ref="B6:E6"/>
    <mergeCell ref="F6:G6"/>
    <mergeCell ref="H6:I6"/>
    <mergeCell ref="J6:K6"/>
    <mergeCell ref="L6:M6"/>
    <mergeCell ref="N6:AA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6C4A-6CE3-4CB1-B7AC-DCC4204E9D99}">
  <dimension ref="A1:AI81"/>
  <sheetViews>
    <sheetView showGridLines="0" topLeftCell="A52" zoomScaleNormal="100" zoomScaleSheetLayoutView="100" workbookViewId="0">
      <selection activeCell="AC55" sqref="AC55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45994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15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16</v>
      </c>
      <c r="G8" s="236"/>
      <c r="H8" s="235">
        <f>SUM(H22:I27)</f>
        <v>15</v>
      </c>
      <c r="I8" s="236"/>
      <c r="J8" s="235">
        <f>SUM(J22:K27)</f>
        <v>0</v>
      </c>
      <c r="K8" s="236"/>
      <c r="L8" s="235">
        <f>SUM(L22:M27)</f>
        <v>1</v>
      </c>
      <c r="M8" s="236"/>
      <c r="N8" s="284" t="s">
        <v>148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42</v>
      </c>
      <c r="G10" s="236"/>
      <c r="H10" s="235">
        <f>SUM(H7:I9)</f>
        <v>35</v>
      </c>
      <c r="I10" s="236"/>
      <c r="J10" s="235">
        <f>SUM(J7:K9)</f>
        <v>1</v>
      </c>
      <c r="K10" s="236"/>
      <c r="L10" s="235">
        <f>SUM(L7:M9)</f>
        <v>4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104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5</v>
      </c>
      <c r="I18" s="174"/>
      <c r="J18" s="175">
        <v>0</v>
      </c>
      <c r="K18" s="174"/>
      <c r="L18" s="235">
        <v>2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 t="s">
        <v>149</v>
      </c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6</v>
      </c>
      <c r="G25" s="174"/>
      <c r="H25" s="175">
        <f>F25-SUM(J25:M25)</f>
        <v>6</v>
      </c>
      <c r="I25" s="174"/>
      <c r="J25" s="175">
        <v>0</v>
      </c>
      <c r="K25" s="174"/>
      <c r="L25" s="235">
        <v>0</v>
      </c>
      <c r="M25" s="236"/>
      <c r="N25" s="237" t="s">
        <v>116</v>
      </c>
      <c r="O25" s="238"/>
      <c r="P25" s="238"/>
      <c r="Q25" s="238"/>
      <c r="R25" s="238"/>
      <c r="S25" s="238"/>
      <c r="T25" s="238"/>
      <c r="U25" s="239"/>
      <c r="V25" s="243"/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2</v>
      </c>
      <c r="I26" s="174"/>
      <c r="J26" s="175">
        <v>0</v>
      </c>
      <c r="K26" s="174"/>
      <c r="L26" s="235">
        <v>0</v>
      </c>
      <c r="M26" s="236"/>
      <c r="N26" s="237" t="s">
        <v>140</v>
      </c>
      <c r="O26" s="238"/>
      <c r="P26" s="238"/>
      <c r="Q26" s="238"/>
      <c r="R26" s="238"/>
      <c r="S26" s="238"/>
      <c r="T26" s="238"/>
      <c r="U26" s="239"/>
      <c r="V26" s="240"/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234745</v>
      </c>
      <c r="G40" s="177"/>
      <c r="H40" s="177"/>
      <c r="I40" s="178"/>
      <c r="J40" s="176">
        <v>235405</v>
      </c>
      <c r="K40" s="177"/>
      <c r="L40" s="177"/>
      <c r="M40" s="178"/>
      <c r="N40" s="176">
        <f>J40-F40</f>
        <v>660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8094</v>
      </c>
      <c r="G41" s="168"/>
      <c r="H41" s="168"/>
      <c r="I41" s="169"/>
      <c r="J41" s="167">
        <v>8102</v>
      </c>
      <c r="K41" s="168"/>
      <c r="L41" s="168"/>
      <c r="M41" s="169"/>
      <c r="N41" s="167">
        <f>J41-F41</f>
        <v>8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>
        <v>2759.42</v>
      </c>
      <c r="G45" s="162"/>
      <c r="H45" s="162"/>
      <c r="I45" s="163"/>
      <c r="J45" s="161">
        <v>4528.21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45993</v>
      </c>
      <c r="C49" s="143"/>
      <c r="D49" s="144">
        <v>370</v>
      </c>
      <c r="E49" s="145"/>
      <c r="F49" s="145"/>
      <c r="G49" s="146"/>
      <c r="H49" s="144">
        <v>1009</v>
      </c>
      <c r="I49" s="145"/>
      <c r="J49" s="145"/>
      <c r="K49" s="146"/>
      <c r="L49" s="144">
        <f>D49+H49</f>
        <v>1379</v>
      </c>
      <c r="M49" s="145"/>
      <c r="N49" s="146"/>
      <c r="O49" s="144">
        <v>2504</v>
      </c>
      <c r="P49" s="145"/>
      <c r="Q49" s="145"/>
      <c r="R49" s="147"/>
      <c r="S49" s="148">
        <v>940</v>
      </c>
      <c r="T49" s="145"/>
      <c r="U49" s="146"/>
      <c r="V49" s="135">
        <v>1716</v>
      </c>
      <c r="W49" s="136"/>
      <c r="X49" s="136"/>
      <c r="Y49" s="137"/>
      <c r="Z49" s="135">
        <f>AF48+V49</f>
        <v>564976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72187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E54" s="1">
        <v>8682</v>
      </c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1</v>
      </c>
      <c r="E56" s="117"/>
      <c r="F56" s="117"/>
      <c r="G56" s="117"/>
      <c r="H56" s="117"/>
      <c r="I56" s="118"/>
      <c r="J56" s="119">
        <v>87</v>
      </c>
      <c r="K56" s="120"/>
      <c r="L56" s="120"/>
      <c r="M56" s="121"/>
      <c r="N56" s="122">
        <v>33594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142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143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/>
      <c r="C64" s="67"/>
      <c r="D64" s="67" t="s">
        <v>144</v>
      </c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 t="s">
        <v>145</v>
      </c>
      <c r="C65" s="67"/>
      <c r="D65" s="67"/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/>
      <c r="C66" s="67"/>
      <c r="D66" s="67" t="s">
        <v>146</v>
      </c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x14ac:dyDescent="0.3">
      <c r="B67" s="61"/>
      <c r="C67" s="67"/>
      <c r="D67" s="67" t="s">
        <v>147</v>
      </c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D67" s="67"/>
      <c r="AE67" s="67"/>
      <c r="AF67" s="67"/>
      <c r="AG67" s="66"/>
    </row>
    <row r="68" spans="1:33" ht="15" customHeight="1" x14ac:dyDescent="0.3">
      <c r="B68" s="61" t="s">
        <v>150</v>
      </c>
      <c r="C68" s="67"/>
      <c r="D68" s="67"/>
      <c r="E68" s="67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38"/>
      <c r="AC68" s="77"/>
      <c r="AD68" s="67"/>
      <c r="AE68" s="67"/>
      <c r="AF68" s="67"/>
      <c r="AG68" s="66"/>
    </row>
    <row r="69" spans="1:33" ht="15" customHeight="1" thickBot="1" x14ac:dyDescent="0.35">
      <c r="B69" s="62"/>
      <c r="C69" s="41"/>
      <c r="D69" s="24" t="s">
        <v>151</v>
      </c>
      <c r="E69" s="41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2"/>
      <c r="AC69" s="77"/>
      <c r="AD69" s="67"/>
      <c r="AE69" s="67"/>
      <c r="AF69" s="67"/>
      <c r="AG69" s="66"/>
    </row>
    <row r="70" spans="1:33" ht="15" customHeight="1" x14ac:dyDescent="0.3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43"/>
      <c r="AE70"/>
    </row>
    <row r="71" spans="1:33" ht="15" customHeight="1" thickBot="1" x14ac:dyDescent="0.35">
      <c r="B71" s="93" t="s">
        <v>98</v>
      </c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</row>
    <row r="72" spans="1:33" ht="14.25" customHeight="1" x14ac:dyDescent="0.3">
      <c r="B72" s="35"/>
      <c r="C72" s="36"/>
      <c r="D72" s="37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5"/>
    </row>
    <row r="73" spans="1:33" ht="14.25" customHeight="1" thickBot="1" x14ac:dyDescent="0.35">
      <c r="B73" s="39"/>
      <c r="C73" s="40"/>
      <c r="D73" s="41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7"/>
    </row>
    <row r="74" spans="1:33" ht="14.25" customHeight="1" x14ac:dyDescent="0.3">
      <c r="B74" s="37"/>
      <c r="C74" s="36"/>
      <c r="D74" s="37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spans="1:33" ht="15" customHeight="1" thickBot="1" x14ac:dyDescent="0.35">
      <c r="B75" s="48" t="s">
        <v>63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33" ht="15" customHeight="1" x14ac:dyDescent="0.3">
      <c r="B76" s="49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2"/>
    </row>
    <row r="77" spans="1:33" ht="15" customHeight="1" thickBot="1" x14ac:dyDescent="0.35">
      <c r="B77" s="39"/>
      <c r="C77" s="41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4"/>
    </row>
    <row r="79" spans="1:33" ht="18" thickBot="1" x14ac:dyDescent="0.35">
      <c r="B79" s="4" t="s">
        <v>128</v>
      </c>
    </row>
    <row r="80" spans="1:33" x14ac:dyDescent="0.3">
      <c r="B80" s="35"/>
      <c r="C80" s="37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6"/>
    </row>
    <row r="81" spans="2:27" ht="17.25" thickBot="1" x14ac:dyDescent="0.35">
      <c r="B81" s="39"/>
      <c r="C81" s="41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8"/>
    </row>
  </sheetData>
  <mergeCells count="233">
    <mergeCell ref="B60:AA60"/>
    <mergeCell ref="B61:AA61"/>
    <mergeCell ref="A70:Z70"/>
    <mergeCell ref="B71:AA71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:AA3"/>
    <mergeCell ref="B4:Q4"/>
    <mergeCell ref="V4:AA4"/>
    <mergeCell ref="B6:E6"/>
    <mergeCell ref="F6:G6"/>
    <mergeCell ref="H6:I6"/>
    <mergeCell ref="J6:K6"/>
    <mergeCell ref="L6:M6"/>
    <mergeCell ref="N6:AA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5023-6B8A-4FF8-957C-1E4C6293F3A5}">
  <dimension ref="A1:AI80"/>
  <sheetViews>
    <sheetView showGridLines="0" topLeftCell="A55" zoomScaleNormal="100" zoomScaleSheetLayoutView="100" workbookViewId="0">
      <selection activeCell="AC68" sqref="AC68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45993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15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16</v>
      </c>
      <c r="G8" s="236"/>
      <c r="H8" s="235">
        <f>SUM(H22:I27)</f>
        <v>15</v>
      </c>
      <c r="I8" s="236"/>
      <c r="J8" s="235">
        <f>SUM(J22:K27)</f>
        <v>0</v>
      </c>
      <c r="K8" s="236"/>
      <c r="L8" s="235">
        <f>SUM(L22:M27)</f>
        <v>1</v>
      </c>
      <c r="M8" s="236"/>
      <c r="N8" s="284" t="s">
        <v>137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42</v>
      </c>
      <c r="G10" s="236"/>
      <c r="H10" s="235">
        <f>SUM(H7:I9)</f>
        <v>35</v>
      </c>
      <c r="I10" s="236"/>
      <c r="J10" s="235">
        <f>SUM(J7:K9)</f>
        <v>1</v>
      </c>
      <c r="K10" s="236"/>
      <c r="L10" s="235">
        <f>SUM(L7:M9)</f>
        <v>4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129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5</v>
      </c>
      <c r="I18" s="174"/>
      <c r="J18" s="175">
        <v>0</v>
      </c>
      <c r="K18" s="174"/>
      <c r="L18" s="235">
        <v>2</v>
      </c>
      <c r="M18" s="236"/>
      <c r="N18" s="237" t="s">
        <v>131</v>
      </c>
      <c r="O18" s="238"/>
      <c r="P18" s="238"/>
      <c r="Q18" s="238"/>
      <c r="R18" s="238"/>
      <c r="S18" s="238"/>
      <c r="T18" s="238"/>
      <c r="U18" s="239"/>
      <c r="V18" s="263" t="s">
        <v>130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6</v>
      </c>
      <c r="G25" s="174"/>
      <c r="H25" s="175">
        <f>F25-SUM(J25:M25)</f>
        <v>6</v>
      </c>
      <c r="I25" s="174"/>
      <c r="J25" s="175">
        <v>0</v>
      </c>
      <c r="K25" s="174"/>
      <c r="L25" s="235">
        <v>0</v>
      </c>
      <c r="M25" s="236"/>
      <c r="N25" s="237" t="s">
        <v>116</v>
      </c>
      <c r="O25" s="238"/>
      <c r="P25" s="238"/>
      <c r="Q25" s="238"/>
      <c r="R25" s="238"/>
      <c r="S25" s="238"/>
      <c r="T25" s="238"/>
      <c r="U25" s="239"/>
      <c r="V25" s="243"/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2</v>
      </c>
      <c r="G26" s="174"/>
      <c r="H26" s="175">
        <f t="shared" ref="H26:H27" si="2">F26-SUM(J26:M26)</f>
        <v>2</v>
      </c>
      <c r="I26" s="174"/>
      <c r="J26" s="175">
        <v>0</v>
      </c>
      <c r="K26" s="174"/>
      <c r="L26" s="235">
        <v>0</v>
      </c>
      <c r="M26" s="236"/>
      <c r="N26" s="237" t="s">
        <v>140</v>
      </c>
      <c r="O26" s="238"/>
      <c r="P26" s="238"/>
      <c r="Q26" s="238"/>
      <c r="R26" s="238"/>
      <c r="S26" s="238"/>
      <c r="T26" s="238"/>
      <c r="U26" s="239"/>
      <c r="V26" s="240"/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234511</v>
      </c>
      <c r="G40" s="177"/>
      <c r="H40" s="177"/>
      <c r="I40" s="178"/>
      <c r="J40" s="176">
        <v>234745</v>
      </c>
      <c r="K40" s="177"/>
      <c r="L40" s="177"/>
      <c r="M40" s="178"/>
      <c r="N40" s="176">
        <f>J40-F40</f>
        <v>234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8088</v>
      </c>
      <c r="G41" s="168"/>
      <c r="H41" s="168"/>
      <c r="I41" s="169"/>
      <c r="J41" s="167">
        <v>8094</v>
      </c>
      <c r="K41" s="168"/>
      <c r="L41" s="168"/>
      <c r="M41" s="169"/>
      <c r="N41" s="167">
        <f>J41-F41</f>
        <v>6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 t="s">
        <v>141</v>
      </c>
      <c r="G45" s="162"/>
      <c r="H45" s="162"/>
      <c r="I45" s="163"/>
      <c r="J45" s="161">
        <v>1768.79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563260</v>
      </c>
      <c r="AG48" s="2"/>
      <c r="AH48" s="2">
        <v>2222</v>
      </c>
    </row>
    <row r="49" spans="2:34" ht="15" customHeight="1" thickBot="1" x14ac:dyDescent="0.35">
      <c r="B49" s="142">
        <v>45992</v>
      </c>
      <c r="C49" s="143"/>
      <c r="D49" s="144">
        <v>305</v>
      </c>
      <c r="E49" s="145"/>
      <c r="F49" s="145"/>
      <c r="G49" s="146"/>
      <c r="H49" s="144">
        <v>820</v>
      </c>
      <c r="I49" s="145"/>
      <c r="J49" s="145"/>
      <c r="K49" s="146"/>
      <c r="L49" s="144">
        <f>D49+H49</f>
        <v>1125</v>
      </c>
      <c r="M49" s="145"/>
      <c r="N49" s="146"/>
      <c r="O49" s="144">
        <v>1125</v>
      </c>
      <c r="P49" s="145"/>
      <c r="Q49" s="145"/>
      <c r="R49" s="147"/>
      <c r="S49" s="148">
        <v>776</v>
      </c>
      <c r="T49" s="145"/>
      <c r="U49" s="146"/>
      <c r="V49" s="135">
        <v>776</v>
      </c>
      <c r="W49" s="136"/>
      <c r="X49" s="136"/>
      <c r="Y49" s="137"/>
      <c r="Z49" s="135">
        <f>AF48+V49</f>
        <v>564036</v>
      </c>
      <c r="AA49" s="138"/>
      <c r="AF49" s="34"/>
      <c r="AG49" s="2"/>
      <c r="AH49" s="2"/>
    </row>
    <row r="50" spans="2:34" ht="15" customHeight="1" x14ac:dyDescent="0.3">
      <c r="B50" s="139"/>
      <c r="C50" s="139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1"/>
      <c r="W50" s="141"/>
      <c r="X50" s="141"/>
      <c r="Y50" s="141"/>
      <c r="Z50" s="141"/>
      <c r="AA50" s="141"/>
    </row>
    <row r="51" spans="2:34" ht="15" customHeight="1" thickBot="1" x14ac:dyDescent="0.35">
      <c r="B51" s="125" t="s">
        <v>95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</row>
    <row r="52" spans="2:34" ht="15" customHeight="1" thickBot="1" x14ac:dyDescent="0.35">
      <c r="B52" s="126" t="s">
        <v>93</v>
      </c>
      <c r="C52" s="127"/>
      <c r="D52" s="127"/>
      <c r="E52" s="127"/>
      <c r="F52" s="127"/>
      <c r="G52" s="128"/>
      <c r="H52" s="129">
        <v>791</v>
      </c>
      <c r="I52" s="130"/>
      <c r="J52" s="130"/>
      <c r="K52" s="130"/>
      <c r="L52" s="130"/>
      <c r="M52" s="130"/>
      <c r="N52" s="131"/>
      <c r="O52" s="129" t="s">
        <v>94</v>
      </c>
      <c r="P52" s="130"/>
      <c r="Q52" s="130"/>
      <c r="R52" s="130"/>
      <c r="S52" s="130"/>
      <c r="T52" s="130"/>
      <c r="U52" s="131"/>
      <c r="V52" s="132">
        <v>72187</v>
      </c>
      <c r="W52" s="133"/>
      <c r="X52" s="133"/>
      <c r="Y52" s="133"/>
      <c r="Z52" s="133"/>
      <c r="AA52" s="134"/>
    </row>
    <row r="53" spans="2:34" ht="15" customHeight="1" x14ac:dyDescent="0.3">
      <c r="B53" s="68"/>
      <c r="C53" s="68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</row>
    <row r="54" spans="2:34" ht="15" customHeight="1" thickBot="1" x14ac:dyDescent="0.35">
      <c r="B54" s="91" t="s">
        <v>52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E54" s="1">
        <v>8682</v>
      </c>
    </row>
    <row r="55" spans="2:34" ht="15" customHeight="1" x14ac:dyDescent="0.3">
      <c r="B55" s="95" t="s">
        <v>53</v>
      </c>
      <c r="C55" s="96"/>
      <c r="D55" s="99" t="s">
        <v>54</v>
      </c>
      <c r="E55" s="100"/>
      <c r="F55" s="100"/>
      <c r="G55" s="100"/>
      <c r="H55" s="100"/>
      <c r="I55" s="101"/>
      <c r="J55" s="110" t="s">
        <v>55</v>
      </c>
      <c r="K55" s="111"/>
      <c r="L55" s="111"/>
      <c r="M55" s="112"/>
      <c r="N55" s="110" t="s">
        <v>56</v>
      </c>
      <c r="O55" s="111"/>
      <c r="P55" s="111"/>
      <c r="Q55" s="112"/>
      <c r="R55" s="113" t="s">
        <v>57</v>
      </c>
      <c r="S55" s="114"/>
      <c r="T55" s="114"/>
      <c r="U55" s="114"/>
      <c r="V55" s="114"/>
      <c r="W55" s="114"/>
      <c r="X55" s="114"/>
      <c r="Y55" s="114"/>
      <c r="Z55" s="114"/>
      <c r="AA55" s="115"/>
    </row>
    <row r="56" spans="2:34" ht="15" customHeight="1" thickBot="1" x14ac:dyDescent="0.35">
      <c r="B56" s="97"/>
      <c r="C56" s="98"/>
      <c r="D56" s="116">
        <v>2</v>
      </c>
      <c r="E56" s="117"/>
      <c r="F56" s="117"/>
      <c r="G56" s="117"/>
      <c r="H56" s="117"/>
      <c r="I56" s="118"/>
      <c r="J56" s="119">
        <v>84</v>
      </c>
      <c r="K56" s="120"/>
      <c r="L56" s="120"/>
      <c r="M56" s="121"/>
      <c r="N56" s="122">
        <v>20077</v>
      </c>
      <c r="O56" s="123"/>
      <c r="P56" s="123"/>
      <c r="Q56" s="124"/>
      <c r="R56" s="106"/>
      <c r="S56" s="107"/>
      <c r="T56" s="107"/>
      <c r="U56" s="107"/>
      <c r="V56" s="107"/>
      <c r="W56" s="107"/>
      <c r="X56" s="107"/>
      <c r="Y56" s="107"/>
      <c r="Z56" s="107"/>
      <c r="AA56" s="109"/>
    </row>
    <row r="57" spans="2:34" ht="15" customHeight="1" thickBot="1" x14ac:dyDescent="0.35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 t="s">
        <v>67</v>
      </c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 spans="2:34" ht="15" customHeight="1" x14ac:dyDescent="0.3">
      <c r="B58" s="95" t="s">
        <v>58</v>
      </c>
      <c r="C58" s="96"/>
      <c r="D58" s="99" t="s">
        <v>59</v>
      </c>
      <c r="E58" s="100"/>
      <c r="F58" s="100"/>
      <c r="G58" s="100"/>
      <c r="H58" s="100"/>
      <c r="I58" s="101"/>
      <c r="J58" s="99" t="s">
        <v>60</v>
      </c>
      <c r="K58" s="100"/>
      <c r="L58" s="100"/>
      <c r="M58" s="101"/>
      <c r="N58" s="99" t="s">
        <v>61</v>
      </c>
      <c r="O58" s="100"/>
      <c r="P58" s="100"/>
      <c r="Q58" s="101"/>
      <c r="R58" s="99" t="s">
        <v>57</v>
      </c>
      <c r="S58" s="100"/>
      <c r="T58" s="100"/>
      <c r="U58" s="100"/>
      <c r="V58" s="100"/>
      <c r="W58" s="100"/>
      <c r="X58" s="100"/>
      <c r="Y58" s="100"/>
      <c r="Z58" s="100"/>
      <c r="AA58" s="102"/>
    </row>
    <row r="59" spans="2:34" ht="15" customHeight="1" thickBot="1" x14ac:dyDescent="0.35">
      <c r="B59" s="97"/>
      <c r="C59" s="98"/>
      <c r="D59" s="103" t="s">
        <v>62</v>
      </c>
      <c r="E59" s="104"/>
      <c r="F59" s="104"/>
      <c r="G59" s="104"/>
      <c r="H59" s="104"/>
      <c r="I59" s="105"/>
      <c r="J59" s="106" t="s">
        <v>62</v>
      </c>
      <c r="K59" s="107"/>
      <c r="L59" s="107"/>
      <c r="M59" s="108"/>
      <c r="N59" s="106" t="s">
        <v>62</v>
      </c>
      <c r="O59" s="107"/>
      <c r="P59" s="107"/>
      <c r="Q59" s="108"/>
      <c r="R59" s="106"/>
      <c r="S59" s="107"/>
      <c r="T59" s="107"/>
      <c r="U59" s="107"/>
      <c r="V59" s="107"/>
      <c r="W59" s="107"/>
      <c r="X59" s="107"/>
      <c r="Y59" s="107"/>
      <c r="Z59" s="107"/>
      <c r="AA59" s="109"/>
    </row>
    <row r="60" spans="2:34" ht="15" customHeight="1" x14ac:dyDescent="0.3"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2:34" ht="15" customHeight="1" thickBot="1" x14ac:dyDescent="0.35">
      <c r="B61" s="91" t="s">
        <v>64</v>
      </c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H61" s="1" t="s">
        <v>83</v>
      </c>
    </row>
    <row r="62" spans="2:34" ht="15" customHeight="1" x14ac:dyDescent="0.3">
      <c r="B62" s="71" t="s">
        <v>133</v>
      </c>
      <c r="C62" s="37"/>
      <c r="D62" s="37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72"/>
      <c r="AC62" s="77"/>
      <c r="AD62" s="67"/>
      <c r="AE62" s="67"/>
      <c r="AF62" s="67"/>
      <c r="AG62" s="66"/>
    </row>
    <row r="63" spans="2:34" ht="15" customHeight="1" x14ac:dyDescent="0.3">
      <c r="B63" s="61"/>
      <c r="C63" s="67"/>
      <c r="D63" s="67" t="s">
        <v>132</v>
      </c>
      <c r="E63" s="67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38"/>
      <c r="AC63" s="77"/>
      <c r="AD63" s="67"/>
      <c r="AE63" s="67"/>
      <c r="AF63" s="67"/>
      <c r="AG63" s="66"/>
    </row>
    <row r="64" spans="2:34" ht="15" customHeight="1" x14ac:dyDescent="0.3">
      <c r="B64" s="61" t="s">
        <v>134</v>
      </c>
      <c r="C64" s="67"/>
      <c r="D64" s="67"/>
      <c r="E64" s="67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38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135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136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x14ac:dyDescent="0.3">
      <c r="B67" s="61" t="s">
        <v>138</v>
      </c>
      <c r="C67" s="67"/>
      <c r="D67" s="67"/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D67" s="67"/>
      <c r="AE67" s="67"/>
      <c r="AF67" s="67"/>
      <c r="AG67" s="66"/>
    </row>
    <row r="68" spans="1:33" ht="15" customHeight="1" thickBot="1" x14ac:dyDescent="0.35">
      <c r="B68" s="62"/>
      <c r="C68" s="41"/>
      <c r="D68" s="24" t="s">
        <v>139</v>
      </c>
      <c r="E68" s="41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2"/>
      <c r="AC68" s="77"/>
      <c r="AD68" s="67"/>
      <c r="AE68" s="67"/>
      <c r="AF68" s="67"/>
      <c r="AG68" s="66"/>
    </row>
    <row r="69" spans="1:33" ht="15" customHeight="1" x14ac:dyDescent="0.3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43"/>
      <c r="AE69"/>
    </row>
    <row r="70" spans="1:33" ht="15" customHeight="1" thickBot="1" x14ac:dyDescent="0.35">
      <c r="B70" s="93" t="s">
        <v>98</v>
      </c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</row>
    <row r="71" spans="1:33" ht="14.25" customHeight="1" x14ac:dyDescent="0.3">
      <c r="B71" s="35"/>
      <c r="C71" s="36"/>
      <c r="D71" s="37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5"/>
    </row>
    <row r="72" spans="1:33" ht="14.25" customHeight="1" thickBot="1" x14ac:dyDescent="0.35">
      <c r="B72" s="39"/>
      <c r="C72" s="40"/>
      <c r="D72" s="41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7"/>
    </row>
    <row r="73" spans="1:33" ht="14.25" customHeight="1" x14ac:dyDescent="0.3">
      <c r="B73" s="37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33" ht="15" customHeight="1" thickBot="1" x14ac:dyDescent="0.35">
      <c r="B74" s="48" t="s">
        <v>63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33" ht="15" customHeight="1" x14ac:dyDescent="0.3">
      <c r="B75" s="49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2"/>
    </row>
    <row r="76" spans="1:33" ht="15" customHeight="1" thickBot="1" x14ac:dyDescent="0.35">
      <c r="B76" s="39"/>
      <c r="C76" s="41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4"/>
    </row>
    <row r="78" spans="1:33" ht="18" thickBot="1" x14ac:dyDescent="0.35">
      <c r="B78" s="4" t="s">
        <v>128</v>
      </c>
    </row>
    <row r="79" spans="1:33" x14ac:dyDescent="0.3">
      <c r="B79" s="35"/>
      <c r="C79" s="37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6"/>
    </row>
    <row r="80" spans="1:33" ht="17.25" thickBot="1" x14ac:dyDescent="0.35">
      <c r="B80" s="39"/>
      <c r="C80" s="41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8"/>
    </row>
  </sheetData>
  <mergeCells count="233">
    <mergeCell ref="B1:AA3"/>
    <mergeCell ref="B4:Q4"/>
    <mergeCell ref="V4:AA4"/>
    <mergeCell ref="B6:E6"/>
    <mergeCell ref="F6:G6"/>
    <mergeCell ref="H6:I6"/>
    <mergeCell ref="J6:K6"/>
    <mergeCell ref="L6:M6"/>
    <mergeCell ref="N6:AA6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51:AA51"/>
    <mergeCell ref="B52:G52"/>
    <mergeCell ref="H52:N52"/>
    <mergeCell ref="O52:U52"/>
    <mergeCell ref="V52:AA52"/>
    <mergeCell ref="B54:AA54"/>
    <mergeCell ref="V49:Y49"/>
    <mergeCell ref="Z49:AA49"/>
    <mergeCell ref="B50:C50"/>
    <mergeCell ref="D50:G50"/>
    <mergeCell ref="H50:K50"/>
    <mergeCell ref="L50:N50"/>
    <mergeCell ref="O50:R50"/>
    <mergeCell ref="S50:U50"/>
    <mergeCell ref="V50:Y50"/>
    <mergeCell ref="Z50:AA50"/>
    <mergeCell ref="B49:C49"/>
    <mergeCell ref="D49:G49"/>
    <mergeCell ref="H49:K49"/>
    <mergeCell ref="L49:N49"/>
    <mergeCell ref="O49:R49"/>
    <mergeCell ref="S49:U49"/>
    <mergeCell ref="B55:C56"/>
    <mergeCell ref="D55:I55"/>
    <mergeCell ref="J55:M55"/>
    <mergeCell ref="N55:Q55"/>
    <mergeCell ref="R55:AA55"/>
    <mergeCell ref="D56:I56"/>
    <mergeCell ref="J56:M56"/>
    <mergeCell ref="N56:Q56"/>
    <mergeCell ref="R56:AA56"/>
    <mergeCell ref="B60:AA60"/>
    <mergeCell ref="B61:AA61"/>
    <mergeCell ref="A69:Z69"/>
    <mergeCell ref="B70:AA70"/>
    <mergeCell ref="R57:AA57"/>
    <mergeCell ref="B58:C59"/>
    <mergeCell ref="D58:I58"/>
    <mergeCell ref="J58:M58"/>
    <mergeCell ref="N58:Q58"/>
    <mergeCell ref="R58:AA58"/>
    <mergeCell ref="D59:I59"/>
    <mergeCell ref="J59:M59"/>
    <mergeCell ref="N59:Q59"/>
    <mergeCell ref="R59:AA5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61BE-D2FF-4529-97A7-9FDE0AEE347B}">
  <dimension ref="A1:AI82"/>
  <sheetViews>
    <sheetView showGridLines="0" topLeftCell="A43" zoomScaleNormal="100" zoomScaleSheetLayoutView="100" workbookViewId="0">
      <selection activeCell="V17" sqref="V17:AA17"/>
    </sheetView>
  </sheetViews>
  <sheetFormatPr defaultRowHeight="16.5" x14ac:dyDescent="0.3"/>
  <cols>
    <col min="1" max="1" width="0.875" style="1" customWidth="1"/>
    <col min="2" max="2" width="4.625" style="1" customWidth="1"/>
    <col min="3" max="3" width="4.25" style="1" customWidth="1"/>
    <col min="4" max="20" width="3.625" style="1" customWidth="1"/>
    <col min="21" max="21" width="10.625" style="1" customWidth="1"/>
    <col min="22" max="22" width="4.125" style="1" customWidth="1"/>
    <col min="23" max="26" width="3.75" style="1" customWidth="1"/>
    <col min="27" max="27" width="11.625" style="1" customWidth="1"/>
    <col min="28" max="28" width="3.5" style="1" customWidth="1"/>
    <col min="29" max="29" width="8.125" style="1" customWidth="1"/>
    <col min="30" max="30" width="9" style="1"/>
    <col min="31" max="31" width="9.5" style="1" customWidth="1"/>
    <col min="32" max="32" width="9" style="1" customWidth="1"/>
    <col min="33" max="33" width="10.875" style="1" bestFit="1" customWidth="1"/>
    <col min="34" max="34" width="9.375" style="1" bestFit="1" customWidth="1"/>
    <col min="35" max="16384" width="9" style="1"/>
  </cols>
  <sheetData>
    <row r="1" spans="2:35" ht="15" customHeight="1" x14ac:dyDescent="0.3">
      <c r="B1" s="291" t="s">
        <v>0</v>
      </c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</row>
    <row r="2" spans="2:35" ht="15" customHeight="1" x14ac:dyDescent="0.3"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</row>
    <row r="3" spans="2:35" ht="15" customHeight="1" x14ac:dyDescent="0.3"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"/>
    </row>
    <row r="4" spans="2:35" ht="15" customHeight="1" x14ac:dyDescent="0.3"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S4" s="3"/>
      <c r="T4" s="3"/>
      <c r="U4" s="3"/>
      <c r="V4" s="293">
        <v>45992</v>
      </c>
      <c r="W4" s="293"/>
      <c r="X4" s="293"/>
      <c r="Y4" s="293"/>
      <c r="Z4" s="293"/>
      <c r="AA4" s="293"/>
      <c r="AB4" s="1" t="s">
        <v>17</v>
      </c>
      <c r="AD4" s="1" t="s">
        <v>81</v>
      </c>
    </row>
    <row r="5" spans="2:35" ht="15" customHeight="1" thickBot="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t="s">
        <v>2</v>
      </c>
    </row>
    <row r="6" spans="2:35" ht="15.95" customHeight="1" x14ac:dyDescent="0.3">
      <c r="B6" s="159" t="s">
        <v>3</v>
      </c>
      <c r="C6" s="100"/>
      <c r="D6" s="100"/>
      <c r="E6" s="101"/>
      <c r="F6" s="99" t="s">
        <v>4</v>
      </c>
      <c r="G6" s="101"/>
      <c r="H6" s="99" t="s">
        <v>5</v>
      </c>
      <c r="I6" s="101"/>
      <c r="J6" s="99" t="s">
        <v>6</v>
      </c>
      <c r="K6" s="101"/>
      <c r="L6" s="99" t="s">
        <v>7</v>
      </c>
      <c r="M6" s="101"/>
      <c r="N6" s="99" t="s">
        <v>8</v>
      </c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2"/>
      <c r="AB6" t="s">
        <v>2</v>
      </c>
    </row>
    <row r="7" spans="2:35" ht="15.95" customHeight="1" x14ac:dyDescent="0.3">
      <c r="B7" s="282" t="s">
        <v>9</v>
      </c>
      <c r="C7" s="283"/>
      <c r="D7" s="283"/>
      <c r="E7" s="236"/>
      <c r="F7" s="235">
        <f>SUM(F15:G19)</f>
        <v>21</v>
      </c>
      <c r="G7" s="236"/>
      <c r="H7" s="235">
        <f>SUM(H15:I19)</f>
        <v>15</v>
      </c>
      <c r="I7" s="236"/>
      <c r="J7" s="235">
        <f>SUM(J15:K19)</f>
        <v>1</v>
      </c>
      <c r="K7" s="236"/>
      <c r="L7" s="235">
        <v>3</v>
      </c>
      <c r="M7" s="236"/>
      <c r="N7" s="284" t="s">
        <v>103</v>
      </c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6"/>
      <c r="AB7" t="s">
        <v>2</v>
      </c>
    </row>
    <row r="8" spans="2:35" ht="15.95" customHeight="1" x14ac:dyDescent="0.3">
      <c r="B8" s="282" t="s">
        <v>10</v>
      </c>
      <c r="C8" s="283"/>
      <c r="D8" s="283"/>
      <c r="E8" s="236"/>
      <c r="F8" s="235">
        <f>SUM(F22:G27)</f>
        <v>17</v>
      </c>
      <c r="G8" s="236"/>
      <c r="H8" s="235">
        <f>SUM(H22:I27)</f>
        <v>16</v>
      </c>
      <c r="I8" s="236"/>
      <c r="J8" s="235">
        <f>SUM(J22:K27)</f>
        <v>0</v>
      </c>
      <c r="K8" s="236"/>
      <c r="L8" s="235">
        <f>SUM(L22:M27)</f>
        <v>1</v>
      </c>
      <c r="M8" s="236"/>
      <c r="N8" s="284" t="s">
        <v>115</v>
      </c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6"/>
      <c r="AB8" t="s">
        <v>2</v>
      </c>
    </row>
    <row r="9" spans="2:35" ht="15.95" customHeight="1" x14ac:dyDescent="0.3">
      <c r="B9" s="282" t="s">
        <v>11</v>
      </c>
      <c r="C9" s="283"/>
      <c r="D9" s="283"/>
      <c r="E9" s="236"/>
      <c r="F9" s="235">
        <f>SUM(F30)</f>
        <v>5</v>
      </c>
      <c r="G9" s="236"/>
      <c r="H9" s="235">
        <f>SUM(H30)</f>
        <v>5</v>
      </c>
      <c r="I9" s="236"/>
      <c r="J9" s="235">
        <f>SUM(J30)</f>
        <v>0</v>
      </c>
      <c r="K9" s="236"/>
      <c r="L9" s="235">
        <f>SUM(L30)</f>
        <v>0</v>
      </c>
      <c r="M9" s="236"/>
      <c r="N9" s="284" t="s">
        <v>117</v>
      </c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6"/>
      <c r="AB9" t="s">
        <v>2</v>
      </c>
    </row>
    <row r="10" spans="2:35" ht="15.95" customHeight="1" x14ac:dyDescent="0.3">
      <c r="B10" s="282" t="s">
        <v>12</v>
      </c>
      <c r="C10" s="283"/>
      <c r="D10" s="283"/>
      <c r="E10" s="236"/>
      <c r="F10" s="235">
        <f>SUM(F7:G9)</f>
        <v>43</v>
      </c>
      <c r="G10" s="236"/>
      <c r="H10" s="235">
        <f>SUM(H7:I9)</f>
        <v>36</v>
      </c>
      <c r="I10" s="236"/>
      <c r="J10" s="235">
        <f>SUM(J7:K9)</f>
        <v>1</v>
      </c>
      <c r="K10" s="236"/>
      <c r="L10" s="235">
        <f>SUM(L7:M9)</f>
        <v>4</v>
      </c>
      <c r="M10" s="236"/>
      <c r="N10" s="284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6"/>
      <c r="AB10" t="s">
        <v>2</v>
      </c>
    </row>
    <row r="11" spans="2:35" ht="15.95" customHeight="1" x14ac:dyDescent="0.3">
      <c r="B11" s="28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36"/>
      <c r="N11" s="284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6"/>
      <c r="AB11" t="s">
        <v>2</v>
      </c>
    </row>
    <row r="12" spans="2:35" ht="15.95" customHeight="1" thickBot="1" x14ac:dyDescent="0.35">
      <c r="B12" s="287" t="s">
        <v>13</v>
      </c>
      <c r="C12" s="288"/>
      <c r="D12" s="288"/>
      <c r="E12" s="289"/>
      <c r="F12" s="227">
        <v>2</v>
      </c>
      <c r="G12" s="228"/>
      <c r="H12" s="290" t="s">
        <v>104</v>
      </c>
      <c r="I12" s="288"/>
      <c r="J12" s="288"/>
      <c r="K12" s="288"/>
      <c r="L12" s="288"/>
      <c r="M12" s="289"/>
      <c r="N12" s="284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6"/>
      <c r="AB12" t="s">
        <v>2</v>
      </c>
      <c r="AI12" s="1" t="s">
        <v>89</v>
      </c>
    </row>
    <row r="13" spans="2:35" ht="15.95" customHeight="1" thickBot="1" x14ac:dyDescent="0.35"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D13" s="1" t="s">
        <v>72</v>
      </c>
    </row>
    <row r="14" spans="2:35" ht="20.100000000000001" customHeight="1" thickBot="1" x14ac:dyDescent="0.35">
      <c r="B14" s="5" t="s">
        <v>14</v>
      </c>
      <c r="C14" s="6"/>
      <c r="D14" s="6"/>
      <c r="E14" s="7"/>
      <c r="F14" s="213" t="s">
        <v>4</v>
      </c>
      <c r="G14" s="214"/>
      <c r="H14" s="213" t="s">
        <v>5</v>
      </c>
      <c r="I14" s="214"/>
      <c r="J14" s="213" t="s">
        <v>6</v>
      </c>
      <c r="K14" s="214"/>
      <c r="L14" s="213" t="s">
        <v>7</v>
      </c>
      <c r="M14" s="214"/>
      <c r="N14" s="224" t="s">
        <v>15</v>
      </c>
      <c r="O14" s="225"/>
      <c r="P14" s="225"/>
      <c r="Q14" s="225"/>
      <c r="R14" s="225"/>
      <c r="S14" s="225"/>
      <c r="T14" s="225"/>
      <c r="U14" s="253"/>
      <c r="V14" s="224" t="s">
        <v>16</v>
      </c>
      <c r="W14" s="225"/>
      <c r="X14" s="225"/>
      <c r="Y14" s="225"/>
      <c r="Z14" s="225"/>
      <c r="AA14" s="226"/>
    </row>
    <row r="15" spans="2:35" ht="36" customHeight="1" x14ac:dyDescent="0.3">
      <c r="B15" s="275" t="s">
        <v>18</v>
      </c>
      <c r="C15" s="276"/>
      <c r="D15" s="276"/>
      <c r="E15" s="277"/>
      <c r="F15" s="99">
        <v>6</v>
      </c>
      <c r="G15" s="101"/>
      <c r="H15" s="99">
        <f>F15-SUM(J15:M15)</f>
        <v>5</v>
      </c>
      <c r="I15" s="101"/>
      <c r="J15" s="99">
        <v>0</v>
      </c>
      <c r="K15" s="101"/>
      <c r="L15" s="244">
        <v>1</v>
      </c>
      <c r="M15" s="245"/>
      <c r="N15" s="278" t="s">
        <v>107</v>
      </c>
      <c r="O15" s="279"/>
      <c r="P15" s="279"/>
      <c r="Q15" s="279"/>
      <c r="R15" s="279"/>
      <c r="S15" s="279"/>
      <c r="T15" s="279"/>
      <c r="U15" s="280"/>
      <c r="V15" s="269" t="s">
        <v>96</v>
      </c>
      <c r="W15" s="270"/>
      <c r="X15" s="270"/>
      <c r="Y15" s="270"/>
      <c r="Z15" s="270"/>
      <c r="AA15" s="271"/>
    </row>
    <row r="16" spans="2:35" ht="36" customHeight="1" x14ac:dyDescent="0.3">
      <c r="B16" s="260" t="s">
        <v>19</v>
      </c>
      <c r="C16" s="261"/>
      <c r="D16" s="261"/>
      <c r="E16" s="262"/>
      <c r="F16" s="175">
        <v>5</v>
      </c>
      <c r="G16" s="174"/>
      <c r="H16" s="175">
        <f>F16-SUM(J16:M16)</f>
        <v>3</v>
      </c>
      <c r="I16" s="174"/>
      <c r="J16" s="175">
        <v>0</v>
      </c>
      <c r="K16" s="174"/>
      <c r="L16" s="235">
        <v>2</v>
      </c>
      <c r="M16" s="236"/>
      <c r="N16" s="266" t="s">
        <v>113</v>
      </c>
      <c r="O16" s="267"/>
      <c r="P16" s="267"/>
      <c r="Q16" s="267"/>
      <c r="R16" s="267"/>
      <c r="S16" s="267"/>
      <c r="T16" s="267"/>
      <c r="U16" s="268"/>
      <c r="V16" s="272" t="s">
        <v>114</v>
      </c>
      <c r="W16" s="273"/>
      <c r="X16" s="273"/>
      <c r="Y16" s="273"/>
      <c r="Z16" s="273"/>
      <c r="AA16" s="274"/>
      <c r="AD16" s="1" t="s">
        <v>17</v>
      </c>
      <c r="AE16" s="1" t="s">
        <v>82</v>
      </c>
    </row>
    <row r="17" spans="2:33" ht="36" customHeight="1" x14ac:dyDescent="0.3">
      <c r="B17" s="260" t="s">
        <v>20</v>
      </c>
      <c r="C17" s="261"/>
      <c r="D17" s="261"/>
      <c r="E17" s="262"/>
      <c r="F17" s="175">
        <v>2</v>
      </c>
      <c r="G17" s="174"/>
      <c r="H17" s="175">
        <f t="shared" ref="H17:H18" si="0">F17-SUM(J17:M17)</f>
        <v>2</v>
      </c>
      <c r="I17" s="174"/>
      <c r="J17" s="175">
        <v>0</v>
      </c>
      <c r="K17" s="174"/>
      <c r="L17" s="235">
        <v>0</v>
      </c>
      <c r="M17" s="236"/>
      <c r="N17" s="266" t="s">
        <v>99</v>
      </c>
      <c r="O17" s="267"/>
      <c r="P17" s="267"/>
      <c r="Q17" s="267"/>
      <c r="R17" s="267"/>
      <c r="S17" s="267"/>
      <c r="T17" s="267"/>
      <c r="U17" s="268"/>
      <c r="V17" s="240"/>
      <c r="W17" s="241"/>
      <c r="X17" s="241"/>
      <c r="Y17" s="241"/>
      <c r="Z17" s="241"/>
      <c r="AA17" s="242"/>
    </row>
    <row r="18" spans="2:33" ht="39.950000000000003" customHeight="1" x14ac:dyDescent="0.3">
      <c r="B18" s="260" t="s">
        <v>21</v>
      </c>
      <c r="C18" s="261"/>
      <c r="D18" s="261"/>
      <c r="E18" s="262"/>
      <c r="F18" s="175">
        <v>7</v>
      </c>
      <c r="G18" s="174"/>
      <c r="H18" s="175">
        <f t="shared" si="0"/>
        <v>5</v>
      </c>
      <c r="I18" s="174"/>
      <c r="J18" s="175">
        <v>0</v>
      </c>
      <c r="K18" s="174"/>
      <c r="L18" s="235">
        <v>2</v>
      </c>
      <c r="M18" s="236"/>
      <c r="N18" s="237" t="s">
        <v>125</v>
      </c>
      <c r="O18" s="238"/>
      <c r="P18" s="238"/>
      <c r="Q18" s="238"/>
      <c r="R18" s="238"/>
      <c r="S18" s="238"/>
      <c r="T18" s="238"/>
      <c r="U18" s="239"/>
      <c r="V18" s="263" t="s">
        <v>124</v>
      </c>
      <c r="W18" s="264"/>
      <c r="X18" s="264"/>
      <c r="Y18" s="264"/>
      <c r="Z18" s="264"/>
      <c r="AA18" s="265"/>
    </row>
    <row r="19" spans="2:33" ht="24" customHeight="1" thickBot="1" x14ac:dyDescent="0.35">
      <c r="B19" s="8" t="s">
        <v>22</v>
      </c>
      <c r="C19" s="9"/>
      <c r="D19" s="9"/>
      <c r="E19" s="10"/>
      <c r="F19" s="106">
        <v>1</v>
      </c>
      <c r="G19" s="108"/>
      <c r="H19" s="106">
        <v>0</v>
      </c>
      <c r="I19" s="108"/>
      <c r="J19" s="106">
        <v>1</v>
      </c>
      <c r="K19" s="108"/>
      <c r="L19" s="227">
        <v>0</v>
      </c>
      <c r="M19" s="228"/>
      <c r="N19" s="254"/>
      <c r="O19" s="255"/>
      <c r="P19" s="255"/>
      <c r="Q19" s="255"/>
      <c r="R19" s="255"/>
      <c r="S19" s="255"/>
      <c r="T19" s="255"/>
      <c r="U19" s="256"/>
      <c r="V19" s="257" t="s">
        <v>106</v>
      </c>
      <c r="W19" s="258"/>
      <c r="X19" s="258"/>
      <c r="Y19" s="258"/>
      <c r="Z19" s="258"/>
      <c r="AA19" s="259"/>
    </row>
    <row r="20" spans="2:33" ht="15.95" customHeight="1" thickBot="1" x14ac:dyDescent="0.35">
      <c r="B20" s="11"/>
      <c r="C20" s="11"/>
      <c r="D20" s="11"/>
      <c r="E20" s="11"/>
      <c r="F20" s="252"/>
      <c r="G20" s="252"/>
      <c r="H20" s="12"/>
      <c r="I20" s="12"/>
      <c r="J20" s="11"/>
      <c r="K20" s="11"/>
      <c r="L20" s="11"/>
      <c r="M20" s="11"/>
      <c r="AG20"/>
    </row>
    <row r="21" spans="2:33" ht="20.100000000000001" customHeight="1" thickBot="1" x14ac:dyDescent="0.35">
      <c r="B21" s="13" t="s">
        <v>23</v>
      </c>
      <c r="C21" s="11"/>
      <c r="D21" s="11"/>
      <c r="E21" s="14"/>
      <c r="F21" s="213" t="s">
        <v>4</v>
      </c>
      <c r="G21" s="214"/>
      <c r="H21" s="213" t="s">
        <v>5</v>
      </c>
      <c r="I21" s="214"/>
      <c r="J21" s="213" t="s">
        <v>6</v>
      </c>
      <c r="K21" s="214"/>
      <c r="L21" s="213" t="s">
        <v>7</v>
      </c>
      <c r="M21" s="214"/>
      <c r="N21" s="224" t="s">
        <v>15</v>
      </c>
      <c r="O21" s="225"/>
      <c r="P21" s="225"/>
      <c r="Q21" s="225"/>
      <c r="R21" s="225"/>
      <c r="S21" s="225"/>
      <c r="T21" s="225"/>
      <c r="U21" s="253"/>
      <c r="V21" s="224" t="s">
        <v>24</v>
      </c>
      <c r="W21" s="225"/>
      <c r="X21" s="225"/>
      <c r="Y21" s="225"/>
      <c r="Z21" s="225"/>
      <c r="AA21" s="226"/>
    </row>
    <row r="22" spans="2:33" ht="24" customHeight="1" x14ac:dyDescent="0.3">
      <c r="B22" s="15" t="s">
        <v>25</v>
      </c>
      <c r="C22" s="16"/>
      <c r="D22" s="16"/>
      <c r="E22" s="17"/>
      <c r="F22" s="99">
        <v>3</v>
      </c>
      <c r="G22" s="101"/>
      <c r="H22" s="99">
        <f t="shared" ref="H22:H24" si="1">F22-SUM(J22:M22)</f>
        <v>3</v>
      </c>
      <c r="I22" s="101"/>
      <c r="J22" s="99">
        <v>0</v>
      </c>
      <c r="K22" s="101"/>
      <c r="L22" s="244">
        <v>0</v>
      </c>
      <c r="M22" s="245"/>
      <c r="N22" s="246" t="s">
        <v>84</v>
      </c>
      <c r="O22" s="247"/>
      <c r="P22" s="247"/>
      <c r="Q22" s="247"/>
      <c r="R22" s="247"/>
      <c r="S22" s="247"/>
      <c r="T22" s="247"/>
      <c r="U22" s="248"/>
      <c r="V22" s="249"/>
      <c r="W22" s="250"/>
      <c r="X22" s="250"/>
      <c r="Y22" s="250"/>
      <c r="Z22" s="250"/>
      <c r="AA22" s="251"/>
    </row>
    <row r="23" spans="2:33" ht="24" customHeight="1" x14ac:dyDescent="0.3">
      <c r="B23" s="15" t="s">
        <v>87</v>
      </c>
      <c r="C23" s="16"/>
      <c r="D23" s="16"/>
      <c r="E23" s="17"/>
      <c r="F23" s="175">
        <v>1</v>
      </c>
      <c r="G23" s="174"/>
      <c r="H23" s="175">
        <f t="shared" si="1"/>
        <v>1</v>
      </c>
      <c r="I23" s="174"/>
      <c r="J23" s="175">
        <v>0</v>
      </c>
      <c r="K23" s="174"/>
      <c r="L23" s="235">
        <v>0</v>
      </c>
      <c r="M23" s="236"/>
      <c r="N23" s="237" t="s">
        <v>88</v>
      </c>
      <c r="O23" s="238"/>
      <c r="P23" s="238"/>
      <c r="Q23" s="238"/>
      <c r="R23" s="238"/>
      <c r="S23" s="238"/>
      <c r="T23" s="238"/>
      <c r="U23" s="239"/>
      <c r="V23" s="240"/>
      <c r="W23" s="241"/>
      <c r="X23" s="241"/>
      <c r="Y23" s="241"/>
      <c r="Z23" s="241"/>
      <c r="AA23" s="242"/>
    </row>
    <row r="24" spans="2:33" ht="36" customHeight="1" x14ac:dyDescent="0.3">
      <c r="B24" s="15" t="s">
        <v>85</v>
      </c>
      <c r="C24" s="16"/>
      <c r="D24" s="16"/>
      <c r="E24" s="17"/>
      <c r="F24" s="175">
        <v>2</v>
      </c>
      <c r="G24" s="174"/>
      <c r="H24" s="175">
        <f t="shared" si="1"/>
        <v>2</v>
      </c>
      <c r="I24" s="174"/>
      <c r="J24" s="175">
        <v>0</v>
      </c>
      <c r="K24" s="174"/>
      <c r="L24" s="235">
        <v>0</v>
      </c>
      <c r="M24" s="236"/>
      <c r="N24" s="237" t="s">
        <v>101</v>
      </c>
      <c r="O24" s="238"/>
      <c r="P24" s="238"/>
      <c r="Q24" s="238"/>
      <c r="R24" s="238"/>
      <c r="S24" s="238"/>
      <c r="T24" s="238"/>
      <c r="U24" s="239"/>
      <c r="V24" s="240"/>
      <c r="W24" s="241"/>
      <c r="X24" s="241"/>
      <c r="Y24" s="241"/>
      <c r="Z24" s="241"/>
      <c r="AA24" s="242"/>
    </row>
    <row r="25" spans="2:33" ht="60" customHeight="1" x14ac:dyDescent="0.3">
      <c r="B25" s="18" t="s">
        <v>86</v>
      </c>
      <c r="C25" s="19"/>
      <c r="D25" s="19"/>
      <c r="E25" s="20"/>
      <c r="F25" s="175">
        <v>6</v>
      </c>
      <c r="G25" s="174"/>
      <c r="H25" s="175">
        <f>F25-SUM(J25:M25)</f>
        <v>6</v>
      </c>
      <c r="I25" s="174"/>
      <c r="J25" s="175">
        <v>0</v>
      </c>
      <c r="K25" s="174"/>
      <c r="L25" s="235">
        <v>0</v>
      </c>
      <c r="M25" s="236"/>
      <c r="N25" s="237" t="s">
        <v>116</v>
      </c>
      <c r="O25" s="238"/>
      <c r="P25" s="238"/>
      <c r="Q25" s="238"/>
      <c r="R25" s="238"/>
      <c r="S25" s="238"/>
      <c r="T25" s="238"/>
      <c r="U25" s="239"/>
      <c r="V25" s="243"/>
      <c r="W25" s="241"/>
      <c r="X25" s="241"/>
      <c r="Y25" s="241"/>
      <c r="Z25" s="241"/>
      <c r="AA25" s="242"/>
    </row>
    <row r="26" spans="2:33" ht="30" customHeight="1" x14ac:dyDescent="0.3">
      <c r="B26" s="18" t="s">
        <v>26</v>
      </c>
      <c r="C26" s="19"/>
      <c r="D26" s="19"/>
      <c r="E26" s="20"/>
      <c r="F26" s="175">
        <v>3</v>
      </c>
      <c r="G26" s="174"/>
      <c r="H26" s="175">
        <f t="shared" ref="H26:H27" si="2">F26-SUM(J26:M26)</f>
        <v>3</v>
      </c>
      <c r="I26" s="174"/>
      <c r="J26" s="175">
        <v>0</v>
      </c>
      <c r="K26" s="174"/>
      <c r="L26" s="235">
        <v>0</v>
      </c>
      <c r="M26" s="236"/>
      <c r="N26" s="237" t="s">
        <v>109</v>
      </c>
      <c r="O26" s="238"/>
      <c r="P26" s="238"/>
      <c r="Q26" s="238"/>
      <c r="R26" s="238"/>
      <c r="S26" s="238"/>
      <c r="T26" s="238"/>
      <c r="U26" s="239"/>
      <c r="V26" s="240"/>
      <c r="W26" s="241"/>
      <c r="X26" s="241"/>
      <c r="Y26" s="241"/>
      <c r="Z26" s="241"/>
      <c r="AA26" s="242"/>
    </row>
    <row r="27" spans="2:33" ht="30" customHeight="1" thickBot="1" x14ac:dyDescent="0.35">
      <c r="B27" s="21" t="s">
        <v>27</v>
      </c>
      <c r="C27" s="22"/>
      <c r="D27" s="22"/>
      <c r="E27" s="23"/>
      <c r="F27" s="106">
        <v>2</v>
      </c>
      <c r="G27" s="108"/>
      <c r="H27" s="106">
        <f t="shared" si="2"/>
        <v>1</v>
      </c>
      <c r="I27" s="108"/>
      <c r="J27" s="106">
        <v>0</v>
      </c>
      <c r="K27" s="108"/>
      <c r="L27" s="227">
        <v>1</v>
      </c>
      <c r="M27" s="228"/>
      <c r="N27" s="229" t="s">
        <v>97</v>
      </c>
      <c r="O27" s="230"/>
      <c r="P27" s="230"/>
      <c r="Q27" s="230"/>
      <c r="R27" s="230"/>
      <c r="S27" s="230"/>
      <c r="T27" s="230"/>
      <c r="U27" s="231"/>
      <c r="V27" s="232" t="s">
        <v>102</v>
      </c>
      <c r="W27" s="233"/>
      <c r="X27" s="233"/>
      <c r="Y27" s="233"/>
      <c r="Z27" s="233"/>
      <c r="AA27" s="234"/>
    </row>
    <row r="28" spans="2:33" ht="15.95" customHeight="1" thickBot="1" x14ac:dyDescent="0.35">
      <c r="B28" s="24"/>
      <c r="C28" s="24"/>
      <c r="D28" s="24"/>
      <c r="E28" s="24"/>
      <c r="F28" s="25"/>
      <c r="G28" s="25"/>
      <c r="H28" s="25"/>
      <c r="I28" s="25"/>
      <c r="J28" s="24"/>
      <c r="K28" s="24"/>
      <c r="L28" s="24"/>
      <c r="M28" s="24"/>
    </row>
    <row r="29" spans="2:33" ht="20.100000000000001" customHeight="1" thickBot="1" x14ac:dyDescent="0.35">
      <c r="B29" s="13" t="s">
        <v>28</v>
      </c>
      <c r="C29" s="11"/>
      <c r="D29" s="11"/>
      <c r="E29" s="14"/>
      <c r="F29" s="213" t="s">
        <v>4</v>
      </c>
      <c r="G29" s="214"/>
      <c r="H29" s="213" t="s">
        <v>5</v>
      </c>
      <c r="I29" s="214"/>
      <c r="J29" s="213" t="s">
        <v>6</v>
      </c>
      <c r="K29" s="214"/>
      <c r="L29" s="213" t="s">
        <v>7</v>
      </c>
      <c r="M29" s="214"/>
      <c r="N29" s="221" t="s">
        <v>29</v>
      </c>
      <c r="O29" s="222"/>
      <c r="P29" s="222"/>
      <c r="Q29" s="222"/>
      <c r="R29" s="222"/>
      <c r="S29" s="222"/>
      <c r="T29" s="222"/>
      <c r="U29" s="223"/>
      <c r="V29" s="224" t="s">
        <v>30</v>
      </c>
      <c r="W29" s="225"/>
      <c r="X29" s="225"/>
      <c r="Y29" s="225"/>
      <c r="Z29" s="225"/>
      <c r="AA29" s="226"/>
    </row>
    <row r="30" spans="2:33" ht="36" customHeight="1" thickBot="1" x14ac:dyDescent="0.35">
      <c r="B30" s="13" t="s">
        <v>28</v>
      </c>
      <c r="C30" s="11"/>
      <c r="D30" s="11"/>
      <c r="E30" s="14"/>
      <c r="F30" s="211">
        <v>5</v>
      </c>
      <c r="G30" s="212"/>
      <c r="H30" s="211">
        <f>F30-SUM(J30:M30)</f>
        <v>5</v>
      </c>
      <c r="I30" s="212"/>
      <c r="J30" s="211">
        <v>0</v>
      </c>
      <c r="K30" s="212"/>
      <c r="L30" s="213">
        <v>0</v>
      </c>
      <c r="M30" s="214"/>
      <c r="N30" s="215" t="s">
        <v>105</v>
      </c>
      <c r="O30" s="216"/>
      <c r="P30" s="216"/>
      <c r="Q30" s="216"/>
      <c r="R30" s="216"/>
      <c r="S30" s="216"/>
      <c r="T30" s="216"/>
      <c r="U30" s="217"/>
      <c r="V30" s="218"/>
      <c r="W30" s="219"/>
      <c r="X30" s="219"/>
      <c r="Y30" s="219"/>
      <c r="Z30" s="219"/>
      <c r="AA30" s="220"/>
    </row>
    <row r="31" spans="2:33" ht="16.5" customHeight="1" x14ac:dyDescent="0.3">
      <c r="B31" s="26"/>
      <c r="C31" s="26"/>
      <c r="D31" s="26"/>
      <c r="E31" s="26"/>
      <c r="F31" s="27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33" ht="15" customHeight="1" thickBot="1" x14ac:dyDescent="0.35">
      <c r="B32" s="28" t="s">
        <v>31</v>
      </c>
      <c r="C32" s="29"/>
      <c r="D32" s="29"/>
      <c r="E32" s="29"/>
      <c r="F32" s="30"/>
      <c r="G32" s="29"/>
      <c r="H32" s="29"/>
      <c r="I32" s="29"/>
      <c r="J32" s="29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34" ht="15" customHeight="1" x14ac:dyDescent="0.3">
      <c r="B33" s="195" t="s">
        <v>32</v>
      </c>
      <c r="C33" s="196"/>
      <c r="D33" s="199" t="s">
        <v>33</v>
      </c>
      <c r="E33" s="196"/>
      <c r="F33" s="201" t="s">
        <v>34</v>
      </c>
      <c r="G33" s="202"/>
      <c r="H33" s="63">
        <v>17</v>
      </c>
      <c r="I33" s="63">
        <v>18</v>
      </c>
      <c r="J33" s="63">
        <v>19</v>
      </c>
      <c r="K33" s="63">
        <v>20</v>
      </c>
      <c r="L33" s="63">
        <v>21</v>
      </c>
      <c r="M33" s="59">
        <v>22</v>
      </c>
      <c r="N33" s="59">
        <v>23</v>
      </c>
      <c r="O33" s="63">
        <v>24</v>
      </c>
      <c r="P33" s="63">
        <v>25</v>
      </c>
      <c r="Q33" s="63">
        <v>26</v>
      </c>
      <c r="R33" s="63">
        <v>27</v>
      </c>
      <c r="S33" s="63">
        <v>28</v>
      </c>
      <c r="T33" s="59">
        <v>29</v>
      </c>
      <c r="U33" s="205" t="s">
        <v>35</v>
      </c>
      <c r="V33" s="207" t="s">
        <v>36</v>
      </c>
      <c r="W33" s="208"/>
      <c r="X33" s="207" t="s">
        <v>37</v>
      </c>
      <c r="Y33" s="208"/>
      <c r="Z33" s="183" t="s">
        <v>38</v>
      </c>
      <c r="AA33" s="184"/>
    </row>
    <row r="34" spans="2:34" ht="15" customHeight="1" x14ac:dyDescent="0.3">
      <c r="B34" s="197"/>
      <c r="C34" s="198"/>
      <c r="D34" s="200"/>
      <c r="E34" s="198"/>
      <c r="F34" s="203"/>
      <c r="G34" s="204"/>
      <c r="H34" s="64" t="s">
        <v>41</v>
      </c>
      <c r="I34" s="64" t="s">
        <v>90</v>
      </c>
      <c r="J34" s="64" t="s">
        <v>39</v>
      </c>
      <c r="K34" s="64" t="s">
        <v>40</v>
      </c>
      <c r="L34" s="64" t="s">
        <v>91</v>
      </c>
      <c r="M34" s="60" t="s">
        <v>92</v>
      </c>
      <c r="N34" s="60" t="s">
        <v>110</v>
      </c>
      <c r="O34" s="64" t="s">
        <v>111</v>
      </c>
      <c r="P34" s="64" t="s">
        <v>90</v>
      </c>
      <c r="Q34" s="64" t="s">
        <v>39</v>
      </c>
      <c r="R34" s="64" t="s">
        <v>40</v>
      </c>
      <c r="S34" s="64" t="s">
        <v>91</v>
      </c>
      <c r="T34" s="60" t="s">
        <v>112</v>
      </c>
      <c r="U34" s="206"/>
      <c r="V34" s="209"/>
      <c r="W34" s="210"/>
      <c r="X34" s="209"/>
      <c r="Y34" s="210"/>
      <c r="Z34" s="185"/>
      <c r="AA34" s="186"/>
      <c r="AD34" s="1" t="s">
        <v>79</v>
      </c>
    </row>
    <row r="35" spans="2:34" ht="15" customHeight="1" x14ac:dyDescent="0.3">
      <c r="B35" s="187"/>
      <c r="C35" s="188"/>
      <c r="D35" s="189"/>
      <c r="E35" s="190"/>
      <c r="F35" s="189"/>
      <c r="G35" s="190"/>
      <c r="H35" s="85"/>
      <c r="I35" s="85"/>
      <c r="J35" s="85"/>
      <c r="K35" s="85"/>
      <c r="L35" s="85"/>
      <c r="M35" s="86"/>
      <c r="N35" s="86"/>
      <c r="O35" s="85"/>
      <c r="P35" s="85"/>
      <c r="Q35" s="85"/>
      <c r="R35" s="85"/>
      <c r="S35" s="85"/>
      <c r="T35" s="86"/>
      <c r="U35" s="87"/>
      <c r="V35" s="78"/>
      <c r="W35" s="79"/>
      <c r="X35" s="78"/>
      <c r="Y35" s="79"/>
      <c r="Z35" s="80"/>
      <c r="AA35" s="81"/>
    </row>
    <row r="36" spans="2:34" ht="15" customHeight="1" thickBot="1" x14ac:dyDescent="0.35">
      <c r="B36" s="191"/>
      <c r="C36" s="192"/>
      <c r="D36" s="193"/>
      <c r="E36" s="194"/>
      <c r="F36" s="193"/>
      <c r="G36" s="194"/>
      <c r="H36" s="82"/>
      <c r="I36" s="82"/>
      <c r="J36" s="82"/>
      <c r="K36" s="82"/>
      <c r="L36" s="82"/>
      <c r="M36" s="83"/>
      <c r="N36" s="83"/>
      <c r="O36" s="82"/>
      <c r="P36" s="82"/>
      <c r="Q36" s="82"/>
      <c r="R36" s="82"/>
      <c r="S36" s="82"/>
      <c r="T36" s="83"/>
      <c r="U36" s="84"/>
      <c r="V36" s="73"/>
      <c r="W36" s="74"/>
      <c r="X36" s="73"/>
      <c r="Y36" s="74"/>
      <c r="Z36" s="75"/>
      <c r="AA36" s="76"/>
    </row>
    <row r="37" spans="2:34" ht="15" customHeight="1" x14ac:dyDescent="0.3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</row>
    <row r="38" spans="2:34" ht="15" customHeight="1" thickBot="1" x14ac:dyDescent="0.35">
      <c r="B38" s="91" t="s">
        <v>42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2:34" ht="15" customHeight="1" x14ac:dyDescent="0.3">
      <c r="B39" s="159" t="s">
        <v>3</v>
      </c>
      <c r="C39" s="101"/>
      <c r="D39" s="99" t="s">
        <v>43</v>
      </c>
      <c r="E39" s="101"/>
      <c r="F39" s="99" t="s">
        <v>68</v>
      </c>
      <c r="G39" s="100"/>
      <c r="H39" s="100"/>
      <c r="I39" s="101"/>
      <c r="J39" s="99" t="s">
        <v>44</v>
      </c>
      <c r="K39" s="100"/>
      <c r="L39" s="100"/>
      <c r="M39" s="101"/>
      <c r="N39" s="99" t="s">
        <v>45</v>
      </c>
      <c r="O39" s="100"/>
      <c r="P39" s="100"/>
      <c r="Q39" s="101"/>
      <c r="R39" s="99" t="s">
        <v>100</v>
      </c>
      <c r="S39" s="100"/>
      <c r="T39" s="100"/>
      <c r="U39" s="100"/>
      <c r="V39" s="100"/>
      <c r="W39" s="100"/>
      <c r="X39" s="100"/>
      <c r="Y39" s="100"/>
      <c r="Z39" s="100"/>
      <c r="AA39" s="102"/>
    </row>
    <row r="40" spans="2:34" ht="14.25" customHeight="1" x14ac:dyDescent="0.3">
      <c r="B40" s="173" t="s">
        <v>48</v>
      </c>
      <c r="C40" s="174"/>
      <c r="D40" s="175" t="s">
        <v>49</v>
      </c>
      <c r="E40" s="174"/>
      <c r="F40" s="176">
        <v>234187</v>
      </c>
      <c r="G40" s="177"/>
      <c r="H40" s="177"/>
      <c r="I40" s="178"/>
      <c r="J40" s="176">
        <v>234511</v>
      </c>
      <c r="K40" s="177"/>
      <c r="L40" s="177"/>
      <c r="M40" s="178"/>
      <c r="N40" s="176">
        <f>J40-F40</f>
        <v>324</v>
      </c>
      <c r="O40" s="177"/>
      <c r="P40" s="177"/>
      <c r="Q40" s="178"/>
      <c r="R40" s="179"/>
      <c r="S40" s="180"/>
      <c r="T40" s="180"/>
      <c r="U40" s="180"/>
      <c r="V40" s="180"/>
      <c r="W40" s="180"/>
      <c r="X40" s="180"/>
      <c r="Y40" s="180"/>
      <c r="Z40" s="180"/>
      <c r="AA40" s="181"/>
    </row>
    <row r="41" spans="2:34" ht="15" customHeight="1" thickBot="1" x14ac:dyDescent="0.35">
      <c r="B41" s="160" t="s">
        <v>50</v>
      </c>
      <c r="C41" s="108"/>
      <c r="D41" s="106" t="s">
        <v>51</v>
      </c>
      <c r="E41" s="108"/>
      <c r="F41" s="167">
        <v>8079</v>
      </c>
      <c r="G41" s="168"/>
      <c r="H41" s="168"/>
      <c r="I41" s="169"/>
      <c r="J41" s="167">
        <v>8088</v>
      </c>
      <c r="K41" s="168"/>
      <c r="L41" s="168"/>
      <c r="M41" s="169"/>
      <c r="N41" s="167">
        <f>J41-F41</f>
        <v>9</v>
      </c>
      <c r="O41" s="168"/>
      <c r="P41" s="168"/>
      <c r="Q41" s="169"/>
      <c r="R41" s="170"/>
      <c r="S41" s="171"/>
      <c r="T41" s="171"/>
      <c r="U41" s="171"/>
      <c r="V41" s="171"/>
      <c r="W41" s="171"/>
      <c r="X41" s="171"/>
      <c r="Y41" s="171"/>
      <c r="Z41" s="171"/>
      <c r="AA41" s="172"/>
      <c r="AC41" s="88"/>
    </row>
    <row r="42" spans="2:34" ht="15" customHeight="1" x14ac:dyDescent="0.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34" ht="15" customHeight="1" thickBot="1" x14ac:dyDescent="0.35">
      <c r="B43" s="65" t="s">
        <v>70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2:34" ht="15" customHeight="1" x14ac:dyDescent="0.3">
      <c r="B44" s="159" t="s">
        <v>3</v>
      </c>
      <c r="C44" s="101"/>
      <c r="D44" s="99" t="s">
        <v>43</v>
      </c>
      <c r="E44" s="101"/>
      <c r="F44" s="99" t="s">
        <v>80</v>
      </c>
      <c r="G44" s="100"/>
      <c r="H44" s="100"/>
      <c r="I44" s="101"/>
      <c r="J44" s="99" t="s">
        <v>69</v>
      </c>
      <c r="K44" s="100"/>
      <c r="L44" s="100"/>
      <c r="M44" s="101"/>
      <c r="N44" s="99" t="s">
        <v>100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2"/>
    </row>
    <row r="45" spans="2:34" ht="15" customHeight="1" thickBot="1" x14ac:dyDescent="0.35">
      <c r="B45" s="160" t="s">
        <v>46</v>
      </c>
      <c r="C45" s="108"/>
      <c r="D45" s="106" t="s">
        <v>47</v>
      </c>
      <c r="E45" s="108"/>
      <c r="F45" s="161" t="s">
        <v>118</v>
      </c>
      <c r="G45" s="162"/>
      <c r="H45" s="162"/>
      <c r="I45" s="163"/>
      <c r="J45" s="161">
        <v>44622.69</v>
      </c>
      <c r="K45" s="162"/>
      <c r="L45" s="162"/>
      <c r="M45" s="163"/>
      <c r="N45" s="164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6"/>
      <c r="AB45" s="149" t="s">
        <v>108</v>
      </c>
      <c r="AC45" s="150"/>
      <c r="AD45" s="150"/>
    </row>
    <row r="46" spans="2:34" ht="15" customHeight="1" x14ac:dyDescent="0.3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F46" s="2"/>
      <c r="AG46" s="2"/>
    </row>
    <row r="47" spans="2:34" ht="15" customHeight="1" thickBot="1" x14ac:dyDescent="0.35">
      <c r="B47" s="151" t="s">
        <v>65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F47" s="2"/>
      <c r="AG47" s="2"/>
    </row>
    <row r="48" spans="2:34" ht="15" customHeight="1" x14ac:dyDescent="0.3">
      <c r="B48" s="152" t="s">
        <v>71</v>
      </c>
      <c r="C48" s="153"/>
      <c r="D48" s="154" t="s">
        <v>73</v>
      </c>
      <c r="E48" s="154"/>
      <c r="F48" s="154"/>
      <c r="G48" s="154"/>
      <c r="H48" s="154" t="s">
        <v>74</v>
      </c>
      <c r="I48" s="154"/>
      <c r="J48" s="154"/>
      <c r="K48" s="154"/>
      <c r="L48" s="154" t="s">
        <v>66</v>
      </c>
      <c r="M48" s="154"/>
      <c r="N48" s="154"/>
      <c r="O48" s="154" t="s">
        <v>75</v>
      </c>
      <c r="P48" s="154"/>
      <c r="Q48" s="154"/>
      <c r="R48" s="155"/>
      <c r="S48" s="156" t="s">
        <v>78</v>
      </c>
      <c r="T48" s="157"/>
      <c r="U48" s="157"/>
      <c r="V48" s="157" t="s">
        <v>76</v>
      </c>
      <c r="W48" s="157"/>
      <c r="X48" s="157"/>
      <c r="Y48" s="157"/>
      <c r="Z48" s="157" t="s">
        <v>77</v>
      </c>
      <c r="AA48" s="158"/>
      <c r="AF48" s="2">
        <v>533582</v>
      </c>
      <c r="AG48" s="2"/>
      <c r="AH48" s="2">
        <v>2222</v>
      </c>
    </row>
    <row r="49" spans="2:34" ht="15" customHeight="1" x14ac:dyDescent="0.3">
      <c r="B49" s="294">
        <v>45989</v>
      </c>
      <c r="C49" s="295"/>
      <c r="D49" s="296">
        <v>449</v>
      </c>
      <c r="E49" s="140"/>
      <c r="F49" s="140"/>
      <c r="G49" s="297"/>
      <c r="H49" s="296">
        <v>1172</v>
      </c>
      <c r="I49" s="140"/>
      <c r="J49" s="140"/>
      <c r="K49" s="297"/>
      <c r="L49" s="296">
        <f t="shared" ref="L49:L50" si="3">D49+H49</f>
        <v>1621</v>
      </c>
      <c r="M49" s="140"/>
      <c r="N49" s="297"/>
      <c r="O49" s="296">
        <v>41124</v>
      </c>
      <c r="P49" s="140"/>
      <c r="Q49" s="140"/>
      <c r="R49" s="298"/>
      <c r="S49" s="299">
        <v>1144</v>
      </c>
      <c r="T49" s="140"/>
      <c r="U49" s="297"/>
      <c r="V49" s="300">
        <v>27524</v>
      </c>
      <c r="W49" s="141"/>
      <c r="X49" s="141"/>
      <c r="Y49" s="301"/>
      <c r="Z49" s="300">
        <f>AF48+V49</f>
        <v>561106</v>
      </c>
      <c r="AA49" s="302"/>
      <c r="AF49" s="2"/>
      <c r="AG49" s="2"/>
      <c r="AH49" s="2"/>
    </row>
    <row r="50" spans="2:34" ht="15" customHeight="1" x14ac:dyDescent="0.3">
      <c r="B50" s="303">
        <v>45990</v>
      </c>
      <c r="C50" s="304"/>
      <c r="D50" s="305">
        <v>425</v>
      </c>
      <c r="E50" s="306"/>
      <c r="F50" s="306"/>
      <c r="G50" s="307"/>
      <c r="H50" s="305">
        <v>1111</v>
      </c>
      <c r="I50" s="306"/>
      <c r="J50" s="306"/>
      <c r="K50" s="307"/>
      <c r="L50" s="305">
        <f t="shared" si="3"/>
        <v>1536</v>
      </c>
      <c r="M50" s="306"/>
      <c r="N50" s="307"/>
      <c r="O50" s="305">
        <v>42660</v>
      </c>
      <c r="P50" s="306"/>
      <c r="Q50" s="306"/>
      <c r="R50" s="308"/>
      <c r="S50" s="309">
        <v>1085</v>
      </c>
      <c r="T50" s="306"/>
      <c r="U50" s="307"/>
      <c r="V50" s="310">
        <v>28609</v>
      </c>
      <c r="W50" s="311"/>
      <c r="X50" s="311"/>
      <c r="Y50" s="312"/>
      <c r="Z50" s="310">
        <f>AF48+V50</f>
        <v>562191</v>
      </c>
      <c r="AA50" s="313"/>
      <c r="AF50" s="2"/>
      <c r="AG50" s="2"/>
      <c r="AH50" s="2"/>
    </row>
    <row r="51" spans="2:34" ht="15" customHeight="1" thickBot="1" x14ac:dyDescent="0.35">
      <c r="B51" s="142">
        <v>45991</v>
      </c>
      <c r="C51" s="143"/>
      <c r="D51" s="144">
        <v>417</v>
      </c>
      <c r="E51" s="145"/>
      <c r="F51" s="145"/>
      <c r="G51" s="146"/>
      <c r="H51" s="144">
        <v>1094</v>
      </c>
      <c r="I51" s="145"/>
      <c r="J51" s="145"/>
      <c r="K51" s="146"/>
      <c r="L51" s="144">
        <f>D51+H51</f>
        <v>1511</v>
      </c>
      <c r="M51" s="145"/>
      <c r="N51" s="146"/>
      <c r="O51" s="144">
        <v>44171</v>
      </c>
      <c r="P51" s="145"/>
      <c r="Q51" s="145"/>
      <c r="R51" s="147"/>
      <c r="S51" s="148">
        <v>1069</v>
      </c>
      <c r="T51" s="145"/>
      <c r="U51" s="146"/>
      <c r="V51" s="135">
        <v>29678</v>
      </c>
      <c r="W51" s="136"/>
      <c r="X51" s="136"/>
      <c r="Y51" s="137"/>
      <c r="Z51" s="135">
        <f>AF48+V51</f>
        <v>563260</v>
      </c>
      <c r="AA51" s="138"/>
      <c r="AF51" s="34"/>
      <c r="AG51" s="2"/>
      <c r="AH51" s="2"/>
    </row>
    <row r="52" spans="2:34" ht="15" customHeight="1" x14ac:dyDescent="0.3">
      <c r="B52" s="139"/>
      <c r="C52" s="139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1"/>
      <c r="W52" s="141"/>
      <c r="X52" s="141"/>
      <c r="Y52" s="141"/>
      <c r="Z52" s="141"/>
      <c r="AA52" s="141"/>
    </row>
    <row r="53" spans="2:34" ht="15" customHeight="1" thickBot="1" x14ac:dyDescent="0.35">
      <c r="B53" s="125" t="s">
        <v>95</v>
      </c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spans="2:34" ht="15" customHeight="1" thickBot="1" x14ac:dyDescent="0.35">
      <c r="B54" s="126" t="s">
        <v>93</v>
      </c>
      <c r="C54" s="127"/>
      <c r="D54" s="127"/>
      <c r="E54" s="127"/>
      <c r="F54" s="127"/>
      <c r="G54" s="128"/>
      <c r="H54" s="129">
        <v>791</v>
      </c>
      <c r="I54" s="130"/>
      <c r="J54" s="130"/>
      <c r="K54" s="130"/>
      <c r="L54" s="130"/>
      <c r="M54" s="130"/>
      <c r="N54" s="131"/>
      <c r="O54" s="129" t="s">
        <v>94</v>
      </c>
      <c r="P54" s="130"/>
      <c r="Q54" s="130"/>
      <c r="R54" s="130"/>
      <c r="S54" s="130"/>
      <c r="T54" s="130"/>
      <c r="U54" s="131"/>
      <c r="V54" s="132">
        <v>72187</v>
      </c>
      <c r="W54" s="133"/>
      <c r="X54" s="133"/>
      <c r="Y54" s="133"/>
      <c r="Z54" s="133"/>
      <c r="AA54" s="134"/>
    </row>
    <row r="55" spans="2:34" ht="15" customHeight="1" x14ac:dyDescent="0.3">
      <c r="B55" s="68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70"/>
      <c r="W55" s="70"/>
      <c r="X55" s="70"/>
      <c r="Y55" s="70"/>
      <c r="Z55" s="70"/>
      <c r="AA55" s="70"/>
    </row>
    <row r="56" spans="2:34" ht="15" customHeight="1" thickBot="1" x14ac:dyDescent="0.35">
      <c r="B56" s="91" t="s">
        <v>52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E56" s="1">
        <v>8682</v>
      </c>
    </row>
    <row r="57" spans="2:34" ht="15" customHeight="1" x14ac:dyDescent="0.3">
      <c r="B57" s="95" t="s">
        <v>53</v>
      </c>
      <c r="C57" s="96"/>
      <c r="D57" s="99" t="s">
        <v>54</v>
      </c>
      <c r="E57" s="100"/>
      <c r="F57" s="100"/>
      <c r="G57" s="100"/>
      <c r="H57" s="100"/>
      <c r="I57" s="101"/>
      <c r="J57" s="110" t="s">
        <v>55</v>
      </c>
      <c r="K57" s="111"/>
      <c r="L57" s="111"/>
      <c r="M57" s="112"/>
      <c r="N57" s="110" t="s">
        <v>56</v>
      </c>
      <c r="O57" s="111"/>
      <c r="P57" s="111"/>
      <c r="Q57" s="112"/>
      <c r="R57" s="113" t="s">
        <v>57</v>
      </c>
      <c r="S57" s="114"/>
      <c r="T57" s="114"/>
      <c r="U57" s="114"/>
      <c r="V57" s="114"/>
      <c r="W57" s="114"/>
      <c r="X57" s="114"/>
      <c r="Y57" s="114"/>
      <c r="Z57" s="114"/>
      <c r="AA57" s="115"/>
    </row>
    <row r="58" spans="2:34" ht="15" customHeight="1" thickBot="1" x14ac:dyDescent="0.35">
      <c r="B58" s="97"/>
      <c r="C58" s="98"/>
      <c r="D58" s="116">
        <v>1</v>
      </c>
      <c r="E58" s="117"/>
      <c r="F58" s="117"/>
      <c r="G58" s="117"/>
      <c r="H58" s="117"/>
      <c r="I58" s="118"/>
      <c r="J58" s="119">
        <v>83</v>
      </c>
      <c r="K58" s="120"/>
      <c r="L58" s="120"/>
      <c r="M58" s="121"/>
      <c r="N58" s="122">
        <v>33583</v>
      </c>
      <c r="O58" s="123"/>
      <c r="P58" s="123"/>
      <c r="Q58" s="124"/>
      <c r="R58" s="106"/>
      <c r="S58" s="107"/>
      <c r="T58" s="107"/>
      <c r="U58" s="107"/>
      <c r="V58" s="107"/>
      <c r="W58" s="107"/>
      <c r="X58" s="107"/>
      <c r="Y58" s="107"/>
      <c r="Z58" s="107"/>
      <c r="AA58" s="109"/>
    </row>
    <row r="59" spans="2:34" ht="15" customHeight="1" thickBot="1" x14ac:dyDescent="0.35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 t="s">
        <v>67</v>
      </c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 spans="2:34" ht="15" customHeight="1" x14ac:dyDescent="0.3">
      <c r="B60" s="95" t="s">
        <v>58</v>
      </c>
      <c r="C60" s="96"/>
      <c r="D60" s="99" t="s">
        <v>59</v>
      </c>
      <c r="E60" s="100"/>
      <c r="F60" s="100"/>
      <c r="G60" s="100"/>
      <c r="H60" s="100"/>
      <c r="I60" s="101"/>
      <c r="J60" s="99" t="s">
        <v>60</v>
      </c>
      <c r="K60" s="100"/>
      <c r="L60" s="100"/>
      <c r="M60" s="101"/>
      <c r="N60" s="99" t="s">
        <v>61</v>
      </c>
      <c r="O60" s="100"/>
      <c r="P60" s="100"/>
      <c r="Q60" s="101"/>
      <c r="R60" s="99" t="s">
        <v>57</v>
      </c>
      <c r="S60" s="100"/>
      <c r="T60" s="100"/>
      <c r="U60" s="100"/>
      <c r="V60" s="100"/>
      <c r="W60" s="100"/>
      <c r="X60" s="100"/>
      <c r="Y60" s="100"/>
      <c r="Z60" s="100"/>
      <c r="AA60" s="102"/>
    </row>
    <row r="61" spans="2:34" ht="15" customHeight="1" thickBot="1" x14ac:dyDescent="0.35">
      <c r="B61" s="97"/>
      <c r="C61" s="98"/>
      <c r="D61" s="103" t="s">
        <v>62</v>
      </c>
      <c r="E61" s="104"/>
      <c r="F61" s="104"/>
      <c r="G61" s="104"/>
      <c r="H61" s="104"/>
      <c r="I61" s="105"/>
      <c r="J61" s="106" t="s">
        <v>62</v>
      </c>
      <c r="K61" s="107"/>
      <c r="L61" s="107"/>
      <c r="M61" s="108"/>
      <c r="N61" s="106" t="s">
        <v>62</v>
      </c>
      <c r="O61" s="107"/>
      <c r="P61" s="107"/>
      <c r="Q61" s="108"/>
      <c r="R61" s="106"/>
      <c r="S61" s="107"/>
      <c r="T61" s="107"/>
      <c r="U61" s="107"/>
      <c r="V61" s="107"/>
      <c r="W61" s="107"/>
      <c r="X61" s="107"/>
      <c r="Y61" s="107"/>
      <c r="Z61" s="107"/>
      <c r="AA61" s="109"/>
    </row>
    <row r="62" spans="2:34" ht="15" customHeight="1" x14ac:dyDescent="0.3"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</row>
    <row r="63" spans="2:34" ht="15" customHeight="1" thickBot="1" x14ac:dyDescent="0.35">
      <c r="B63" s="91" t="s">
        <v>64</v>
      </c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H63" s="1" t="s">
        <v>83</v>
      </c>
    </row>
    <row r="64" spans="2:34" ht="15" customHeight="1" x14ac:dyDescent="0.3">
      <c r="B64" s="71" t="s">
        <v>126</v>
      </c>
      <c r="C64" s="37"/>
      <c r="D64" s="37"/>
      <c r="E64" s="37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72"/>
      <c r="AC64" s="77"/>
      <c r="AD64" s="67"/>
      <c r="AE64" s="67"/>
      <c r="AF64" s="67"/>
      <c r="AG64" s="66"/>
    </row>
    <row r="65" spans="1:33" ht="15" customHeight="1" x14ac:dyDescent="0.3">
      <c r="B65" s="61"/>
      <c r="C65" s="67"/>
      <c r="D65" s="67" t="s">
        <v>127</v>
      </c>
      <c r="E65" s="67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38"/>
      <c r="AC65" s="77"/>
      <c r="AD65" s="67"/>
      <c r="AE65" s="67"/>
      <c r="AF65" s="67"/>
      <c r="AG65" s="66"/>
    </row>
    <row r="66" spans="1:33" ht="15" customHeight="1" x14ac:dyDescent="0.3">
      <c r="B66" s="61" t="s">
        <v>121</v>
      </c>
      <c r="C66" s="67"/>
      <c r="D66" s="67"/>
      <c r="E66" s="67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38"/>
      <c r="AC66" s="77"/>
      <c r="AD66" s="67"/>
      <c r="AE66" s="67"/>
      <c r="AF66" s="67"/>
      <c r="AG66" s="66"/>
    </row>
    <row r="67" spans="1:33" ht="15" customHeight="1" x14ac:dyDescent="0.3">
      <c r="B67" s="61"/>
      <c r="C67" s="67"/>
      <c r="D67" s="67" t="s">
        <v>122</v>
      </c>
      <c r="E67" s="67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38"/>
      <c r="AC67" s="77"/>
      <c r="AD67" s="67"/>
      <c r="AE67" s="67"/>
      <c r="AF67" s="67"/>
      <c r="AG67" s="66"/>
    </row>
    <row r="68" spans="1:33" ht="15" customHeight="1" x14ac:dyDescent="0.3">
      <c r="B68" s="61"/>
      <c r="C68" s="67"/>
      <c r="D68" s="67" t="s">
        <v>123</v>
      </c>
      <c r="E68" s="67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38"/>
      <c r="AC68" s="77"/>
      <c r="AD68" s="67"/>
      <c r="AE68" s="67"/>
      <c r="AF68" s="67"/>
      <c r="AG68" s="66"/>
    </row>
    <row r="69" spans="1:33" ht="15" customHeight="1" x14ac:dyDescent="0.3">
      <c r="B69" s="61" t="s">
        <v>119</v>
      </c>
      <c r="C69" s="67"/>
      <c r="D69" s="67"/>
      <c r="E69" s="67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38"/>
      <c r="AC69" s="77"/>
      <c r="AD69" s="67"/>
      <c r="AE69" s="67"/>
      <c r="AF69" s="67"/>
      <c r="AG69" s="66"/>
    </row>
    <row r="70" spans="1:33" ht="15" customHeight="1" thickBot="1" x14ac:dyDescent="0.35">
      <c r="B70" s="62"/>
      <c r="C70" s="41"/>
      <c r="D70" s="24" t="s">
        <v>120</v>
      </c>
      <c r="E70" s="41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2"/>
      <c r="AC70" s="77"/>
      <c r="AD70" s="67"/>
      <c r="AE70" s="67"/>
      <c r="AF70" s="67"/>
      <c r="AG70" s="66"/>
    </row>
    <row r="71" spans="1:33" ht="15" customHeight="1" x14ac:dyDescent="0.3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43"/>
      <c r="AE71"/>
    </row>
    <row r="72" spans="1:33" ht="15" customHeight="1" thickBot="1" x14ac:dyDescent="0.35">
      <c r="B72" s="93" t="s">
        <v>98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</row>
    <row r="73" spans="1:33" ht="14.25" customHeight="1" x14ac:dyDescent="0.3">
      <c r="B73" s="35"/>
      <c r="C73" s="36"/>
      <c r="D73" s="37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5"/>
    </row>
    <row r="74" spans="1:33" ht="14.25" customHeight="1" thickBot="1" x14ac:dyDescent="0.35">
      <c r="B74" s="39"/>
      <c r="C74" s="40"/>
      <c r="D74" s="41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7"/>
    </row>
    <row r="75" spans="1:33" ht="14.25" customHeight="1" x14ac:dyDescent="0.3">
      <c r="B75" s="37"/>
      <c r="C75" s="36"/>
      <c r="D75" s="37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33" ht="15" customHeight="1" thickBot="1" x14ac:dyDescent="0.35">
      <c r="B76" s="48" t="s">
        <v>63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33" ht="15" customHeight="1" x14ac:dyDescent="0.3">
      <c r="B77" s="49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2"/>
    </row>
    <row r="78" spans="1:33" ht="15" customHeight="1" thickBot="1" x14ac:dyDescent="0.35">
      <c r="B78" s="39"/>
      <c r="C78" s="41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4"/>
    </row>
    <row r="80" spans="1:33" ht="18" thickBot="1" x14ac:dyDescent="0.35">
      <c r="B80" s="4" t="s">
        <v>128</v>
      </c>
    </row>
    <row r="81" spans="2:27" x14ac:dyDescent="0.3">
      <c r="B81" s="35"/>
      <c r="C81" s="37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6"/>
    </row>
    <row r="82" spans="2:27" ht="17.25" thickBot="1" x14ac:dyDescent="0.35">
      <c r="B82" s="39"/>
      <c r="C82" s="41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8"/>
    </row>
  </sheetData>
  <mergeCells count="249">
    <mergeCell ref="B62:AA62"/>
    <mergeCell ref="B63:AA63"/>
    <mergeCell ref="A71:Z71"/>
    <mergeCell ref="B72:AA72"/>
    <mergeCell ref="R59:AA59"/>
    <mergeCell ref="B60:C61"/>
    <mergeCell ref="D60:I60"/>
    <mergeCell ref="J60:M60"/>
    <mergeCell ref="N60:Q60"/>
    <mergeCell ref="R60:AA60"/>
    <mergeCell ref="D61:I61"/>
    <mergeCell ref="J61:M61"/>
    <mergeCell ref="N61:Q61"/>
    <mergeCell ref="R61:AA61"/>
    <mergeCell ref="B57:C58"/>
    <mergeCell ref="D57:I57"/>
    <mergeCell ref="J57:M57"/>
    <mergeCell ref="N57:Q57"/>
    <mergeCell ref="R57:AA57"/>
    <mergeCell ref="D58:I58"/>
    <mergeCell ref="J58:M58"/>
    <mergeCell ref="N58:Q58"/>
    <mergeCell ref="R58:AA58"/>
    <mergeCell ref="B53:AA53"/>
    <mergeCell ref="B54:G54"/>
    <mergeCell ref="H54:N54"/>
    <mergeCell ref="O54:U54"/>
    <mergeCell ref="V54:AA54"/>
    <mergeCell ref="B56:AA56"/>
    <mergeCell ref="V51:Y51"/>
    <mergeCell ref="Z51:AA51"/>
    <mergeCell ref="B52:C52"/>
    <mergeCell ref="D52:G52"/>
    <mergeCell ref="H52:K52"/>
    <mergeCell ref="L52:N52"/>
    <mergeCell ref="O52:R52"/>
    <mergeCell ref="S52:U52"/>
    <mergeCell ref="V52:Y52"/>
    <mergeCell ref="Z52:AA52"/>
    <mergeCell ref="B51:C51"/>
    <mergeCell ref="D51:G51"/>
    <mergeCell ref="H51:K51"/>
    <mergeCell ref="L51:N51"/>
    <mergeCell ref="O51:R51"/>
    <mergeCell ref="S51:U51"/>
    <mergeCell ref="AB45:AD45"/>
    <mergeCell ref="B47:AA47"/>
    <mergeCell ref="B48:C48"/>
    <mergeCell ref="D48:G48"/>
    <mergeCell ref="H48:K48"/>
    <mergeCell ref="L48:N48"/>
    <mergeCell ref="O48:R48"/>
    <mergeCell ref="S48:U48"/>
    <mergeCell ref="V48:Y48"/>
    <mergeCell ref="Z48:AA48"/>
    <mergeCell ref="B44:C44"/>
    <mergeCell ref="D44:E44"/>
    <mergeCell ref="F44:I44"/>
    <mergeCell ref="J44:M44"/>
    <mergeCell ref="N44:AA44"/>
    <mergeCell ref="B45:C45"/>
    <mergeCell ref="D45:E45"/>
    <mergeCell ref="F45:I45"/>
    <mergeCell ref="J45:M45"/>
    <mergeCell ref="N45:AA45"/>
    <mergeCell ref="B41:C41"/>
    <mergeCell ref="D41:E41"/>
    <mergeCell ref="F41:I41"/>
    <mergeCell ref="J41:M41"/>
    <mergeCell ref="N41:Q41"/>
    <mergeCell ref="R41:AA41"/>
    <mergeCell ref="B40:C40"/>
    <mergeCell ref="D40:E40"/>
    <mergeCell ref="F40:I40"/>
    <mergeCell ref="J40:M40"/>
    <mergeCell ref="N40:Q40"/>
    <mergeCell ref="R40:AA40"/>
    <mergeCell ref="B37:AA37"/>
    <mergeCell ref="B38:AA38"/>
    <mergeCell ref="B39:C39"/>
    <mergeCell ref="D39:E39"/>
    <mergeCell ref="F39:I39"/>
    <mergeCell ref="J39:M39"/>
    <mergeCell ref="N39:Q39"/>
    <mergeCell ref="R39:AA39"/>
    <mergeCell ref="Z33:AA34"/>
    <mergeCell ref="B35:C35"/>
    <mergeCell ref="D35:E35"/>
    <mergeCell ref="F35:G35"/>
    <mergeCell ref="B36:C36"/>
    <mergeCell ref="D36:E36"/>
    <mergeCell ref="F36:G36"/>
    <mergeCell ref="B33:C34"/>
    <mergeCell ref="D33:E34"/>
    <mergeCell ref="F33:G34"/>
    <mergeCell ref="U33:U34"/>
    <mergeCell ref="V33:W34"/>
    <mergeCell ref="X33:Y34"/>
    <mergeCell ref="F30:G30"/>
    <mergeCell ref="H30:I30"/>
    <mergeCell ref="J30:K30"/>
    <mergeCell ref="L30:M30"/>
    <mergeCell ref="N30:U30"/>
    <mergeCell ref="V30:AA30"/>
    <mergeCell ref="F29:G29"/>
    <mergeCell ref="H29:I29"/>
    <mergeCell ref="J29:K29"/>
    <mergeCell ref="L29:M29"/>
    <mergeCell ref="N29:U29"/>
    <mergeCell ref="V29:AA29"/>
    <mergeCell ref="F27:G27"/>
    <mergeCell ref="H27:I27"/>
    <mergeCell ref="J27:K27"/>
    <mergeCell ref="L27:M27"/>
    <mergeCell ref="N27:U27"/>
    <mergeCell ref="V27:AA27"/>
    <mergeCell ref="F26:G26"/>
    <mergeCell ref="H26:I26"/>
    <mergeCell ref="J26:K26"/>
    <mergeCell ref="L26:M26"/>
    <mergeCell ref="N26:U26"/>
    <mergeCell ref="V26:AA26"/>
    <mergeCell ref="F25:G25"/>
    <mergeCell ref="H25:I25"/>
    <mergeCell ref="J25:K25"/>
    <mergeCell ref="L25:M25"/>
    <mergeCell ref="N25:U25"/>
    <mergeCell ref="V25:AA25"/>
    <mergeCell ref="F24:G24"/>
    <mergeCell ref="H24:I24"/>
    <mergeCell ref="J24:K24"/>
    <mergeCell ref="L24:M24"/>
    <mergeCell ref="N24:U24"/>
    <mergeCell ref="V24:AA24"/>
    <mergeCell ref="F23:G23"/>
    <mergeCell ref="H23:I23"/>
    <mergeCell ref="J23:K23"/>
    <mergeCell ref="L23:M23"/>
    <mergeCell ref="N23:U23"/>
    <mergeCell ref="V23:AA23"/>
    <mergeCell ref="V21:AA21"/>
    <mergeCell ref="F22:G22"/>
    <mergeCell ref="H22:I22"/>
    <mergeCell ref="J22:K22"/>
    <mergeCell ref="L22:M22"/>
    <mergeCell ref="N22:U22"/>
    <mergeCell ref="V22:AA22"/>
    <mergeCell ref="F20:G20"/>
    <mergeCell ref="F21:G21"/>
    <mergeCell ref="H21:I21"/>
    <mergeCell ref="J21:K21"/>
    <mergeCell ref="L21:M21"/>
    <mergeCell ref="N21:U21"/>
    <mergeCell ref="F19:G19"/>
    <mergeCell ref="H19:I19"/>
    <mergeCell ref="J19:K19"/>
    <mergeCell ref="L19:M19"/>
    <mergeCell ref="N19:U19"/>
    <mergeCell ref="V19:AA19"/>
    <mergeCell ref="V17:AA17"/>
    <mergeCell ref="B18:E18"/>
    <mergeCell ref="F18:G18"/>
    <mergeCell ref="H18:I18"/>
    <mergeCell ref="J18:K18"/>
    <mergeCell ref="L18:M18"/>
    <mergeCell ref="N18:U18"/>
    <mergeCell ref="V18:AA18"/>
    <mergeCell ref="B17:E17"/>
    <mergeCell ref="F17:G17"/>
    <mergeCell ref="H17:I17"/>
    <mergeCell ref="J17:K17"/>
    <mergeCell ref="L17:M17"/>
    <mergeCell ref="N17:U17"/>
    <mergeCell ref="V15:AA15"/>
    <mergeCell ref="B16:E16"/>
    <mergeCell ref="F16:G16"/>
    <mergeCell ref="H16:I16"/>
    <mergeCell ref="J16:K16"/>
    <mergeCell ref="L16:M16"/>
    <mergeCell ref="N16:U16"/>
    <mergeCell ref="V16:AA16"/>
    <mergeCell ref="B15:E15"/>
    <mergeCell ref="F15:G15"/>
    <mergeCell ref="H15:I15"/>
    <mergeCell ref="J15:K15"/>
    <mergeCell ref="L15:M15"/>
    <mergeCell ref="N15:U15"/>
    <mergeCell ref="B13:AA13"/>
    <mergeCell ref="F14:G14"/>
    <mergeCell ref="H14:I14"/>
    <mergeCell ref="J14:K14"/>
    <mergeCell ref="L14:M14"/>
    <mergeCell ref="N14:U14"/>
    <mergeCell ref="V14:AA14"/>
    <mergeCell ref="B11:M11"/>
    <mergeCell ref="N11:AA11"/>
    <mergeCell ref="B12:E12"/>
    <mergeCell ref="F12:G12"/>
    <mergeCell ref="H12:M12"/>
    <mergeCell ref="N12:AA12"/>
    <mergeCell ref="B10:E10"/>
    <mergeCell ref="F10:G10"/>
    <mergeCell ref="H10:I10"/>
    <mergeCell ref="J10:K10"/>
    <mergeCell ref="L10:M10"/>
    <mergeCell ref="N10:AA10"/>
    <mergeCell ref="B9:E9"/>
    <mergeCell ref="F9:G9"/>
    <mergeCell ref="H9:I9"/>
    <mergeCell ref="J9:K9"/>
    <mergeCell ref="L9:M9"/>
    <mergeCell ref="N9:AA9"/>
    <mergeCell ref="B8:E8"/>
    <mergeCell ref="F8:G8"/>
    <mergeCell ref="H8:I8"/>
    <mergeCell ref="J8:K8"/>
    <mergeCell ref="L8:M8"/>
    <mergeCell ref="N8:AA8"/>
    <mergeCell ref="B7:E7"/>
    <mergeCell ref="F7:G7"/>
    <mergeCell ref="H7:I7"/>
    <mergeCell ref="J7:K7"/>
    <mergeCell ref="L7:M7"/>
    <mergeCell ref="N7:AA7"/>
    <mergeCell ref="B1:AA3"/>
    <mergeCell ref="B4:Q4"/>
    <mergeCell ref="V4:AA4"/>
    <mergeCell ref="B6:E6"/>
    <mergeCell ref="F6:G6"/>
    <mergeCell ref="H6:I6"/>
    <mergeCell ref="J6:K6"/>
    <mergeCell ref="L6:M6"/>
    <mergeCell ref="N6:AA6"/>
    <mergeCell ref="D50:G50"/>
    <mergeCell ref="H50:K50"/>
    <mergeCell ref="O50:R50"/>
    <mergeCell ref="S50:U50"/>
    <mergeCell ref="V50:Y50"/>
    <mergeCell ref="Z50:AA50"/>
    <mergeCell ref="L49:N49"/>
    <mergeCell ref="L50:N50"/>
    <mergeCell ref="B49:C49"/>
    <mergeCell ref="D49:G49"/>
    <mergeCell ref="H49:K49"/>
    <mergeCell ref="O49:R49"/>
    <mergeCell ref="S49:U49"/>
    <mergeCell ref="V49:Y49"/>
    <mergeCell ref="Z49:AA49"/>
    <mergeCell ref="B50:C5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orientation="portrait" horizontalDpi="4294967293" verticalDpi="4294967293" r:id="rId1"/>
  <headerFooter alignWithMargins="0">
    <oddFooter>&amp;C&amp;8한영산업(주)</oddFooter>
  </headerFooter>
  <rowBreaks count="1" manualBreakCount="1">
    <brk id="31" min="1" max="26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948a4-f582-4991-b4f5-b67d1011bbe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421E80D8E7585458B52DB24A6D5A9AF" ma:contentTypeVersion="13" ma:contentTypeDescription="새 문서를 만듭니다." ma:contentTypeScope="" ma:versionID="ef668a75115057e3f2d8ac4db1048d2b">
  <xsd:schema xmlns:xsd="http://www.w3.org/2001/XMLSchema" xmlns:xs="http://www.w3.org/2001/XMLSchema" xmlns:p="http://schemas.microsoft.com/office/2006/metadata/properties" xmlns:ns2="b68948a4-f582-4991-b4f5-b67d1011bbef" targetNamespace="http://schemas.microsoft.com/office/2006/metadata/properties" ma:root="true" ma:fieldsID="7bcfe0837096e7dc1e521ea390723c4b" ns2:_="">
    <xsd:import namespace="b68948a4-f582-4991-b4f5-b67d1011b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948a4-f582-4991-b4f5-b67d1011b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513cf95-ec06-4ee1-b652-e35eb0ae62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F8DAE-01CE-48DE-964F-438888B9E8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4B17F-F2B3-4A50-9A30-4FD5B57FDB22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b68948a4-f582-4991-b4f5-b67d1011bbe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6CDB4D-FAFE-451E-854C-0C1348F48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948a4-f582-4991-b4f5-b67d1011b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13</vt:i4>
      </vt:variant>
    </vt:vector>
  </HeadingPairs>
  <TitlesOfParts>
    <vt:vector size="26" baseType="lpstr">
      <vt:lpstr>12월17일</vt:lpstr>
      <vt:lpstr>12월16일</vt:lpstr>
      <vt:lpstr>12월15일</vt:lpstr>
      <vt:lpstr>12월12일</vt:lpstr>
      <vt:lpstr>12월11일</vt:lpstr>
      <vt:lpstr>12월10일</vt:lpstr>
      <vt:lpstr>12월9일</vt:lpstr>
      <vt:lpstr>12월8일</vt:lpstr>
      <vt:lpstr>12월5일</vt:lpstr>
      <vt:lpstr>12월4일</vt:lpstr>
      <vt:lpstr>12월3일</vt:lpstr>
      <vt:lpstr>12월2일</vt:lpstr>
      <vt:lpstr>12월1일</vt:lpstr>
      <vt:lpstr>'12월10일'!Print_Area</vt:lpstr>
      <vt:lpstr>'12월11일'!Print_Area</vt:lpstr>
      <vt:lpstr>'12월12일'!Print_Area</vt:lpstr>
      <vt:lpstr>'12월15일'!Print_Area</vt:lpstr>
      <vt:lpstr>'12월16일'!Print_Area</vt:lpstr>
      <vt:lpstr>'12월17일'!Print_Area</vt:lpstr>
      <vt:lpstr>'12월1일'!Print_Area</vt:lpstr>
      <vt:lpstr>'12월2일'!Print_Area</vt:lpstr>
      <vt:lpstr>'12월3일'!Print_Area</vt:lpstr>
      <vt:lpstr>'12월4일'!Print_Area</vt:lpstr>
      <vt:lpstr>'12월5일'!Print_Area</vt:lpstr>
      <vt:lpstr>'12월8일'!Print_Area</vt:lpstr>
      <vt:lpstr>'12월9일'!Print_Area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박정호</dc:creator>
  <cp:lastModifiedBy>박상진 대리</cp:lastModifiedBy>
  <cp:lastPrinted>2025-01-14T07:14:41Z</cp:lastPrinted>
  <dcterms:created xsi:type="dcterms:W3CDTF">2022-11-30T06:11:05Z</dcterms:created>
  <dcterms:modified xsi:type="dcterms:W3CDTF">2025-12-17T01:22:45Z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0x0101007421E80D8E7585458B52DB24A6D5A9AF</vt:lpwstr>
  </property>
  <property fmtid="{D5CDD505-2E9C-101B-9397-08002B2CF9AE}" pid="3" name="MediaServiceImageTags">
    <vt:lpwstr/>
  </property>
</Properties>
</file>