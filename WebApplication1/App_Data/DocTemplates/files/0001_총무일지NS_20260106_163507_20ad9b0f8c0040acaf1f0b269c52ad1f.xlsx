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박정호이사\Downloads\"/>
    </mc:Choice>
  </mc:AlternateContent>
  <xr:revisionPtr revIDLastSave="0" documentId="8_{3400DDFB-70DE-4C56-B30C-034C36A611CA}" xr6:coauthVersionLast="47" xr6:coauthVersionMax="47" xr10:uidLastSave="{00000000-0000-0000-0000-000000000000}"/>
  <bookViews>
    <workbookView xWindow="31545" yWindow="540" windowWidth="28455" windowHeight="15060" xr2:uid="{95DB9DE6-CDA7-47E3-A30A-91DEE3EF7450}"/>
  </bookViews>
  <sheets>
    <sheet name="12월18일" sheetId="1" r:id="rId1"/>
    <sheet name="공휴일" sheetId="2" state="hidden" r:id="rId2"/>
  </sheets>
  <definedNames>
    <definedName name="공휴일">공휴일!$A$3:$B$200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1" l="1"/>
  <c r="K39" i="1"/>
  <c r="K40" i="1"/>
  <c r="E13" i="1"/>
  <c r="E14" i="1"/>
  <c r="E15" i="1"/>
  <c r="E16" i="1"/>
  <c r="E17" i="1"/>
  <c r="I6" i="1"/>
  <c r="E28" i="1"/>
  <c r="E7" i="1" s="1"/>
  <c r="E25" i="1"/>
  <c r="E24" i="1"/>
  <c r="E23" i="1"/>
  <c r="E22" i="1"/>
  <c r="E21" i="1"/>
  <c r="E20" i="1"/>
  <c r="D7" i="1"/>
  <c r="D6" i="1"/>
  <c r="D5" i="1"/>
  <c r="I5" i="1"/>
  <c r="I7" i="1"/>
  <c r="G5" i="1"/>
  <c r="G6" i="1"/>
  <c r="G7" i="1"/>
  <c r="B48" i="1"/>
  <c r="E31" i="1"/>
  <c r="Q31" i="1" s="1"/>
  <c r="M30" i="1"/>
  <c r="I8" i="1" l="1"/>
  <c r="G8" i="1"/>
  <c r="E5" i="1"/>
  <c r="E6" i="1"/>
  <c r="D8" i="1"/>
  <c r="E32" i="1"/>
  <c r="Q32" i="1"/>
  <c r="Q33" i="1"/>
  <c r="G31" i="1"/>
  <c r="J31" i="1"/>
  <c r="L31" i="1"/>
  <c r="M31" i="1"/>
  <c r="O31" i="1"/>
  <c r="E33" i="1"/>
  <c r="H31" i="1"/>
  <c r="N31" i="1"/>
  <c r="P31" i="1"/>
  <c r="F31" i="1"/>
  <c r="I31" i="1"/>
  <c r="K31" i="1"/>
  <c r="E8" i="1" l="1"/>
  <c r="K32" i="1"/>
  <c r="K33" i="1"/>
  <c r="I32" i="1"/>
  <c r="I33" i="1"/>
  <c r="F32" i="1"/>
  <c r="F33" i="1"/>
  <c r="P32" i="1"/>
  <c r="P33" i="1"/>
  <c r="N32" i="1"/>
  <c r="N33" i="1"/>
  <c r="H32" i="1"/>
  <c r="H33" i="1"/>
  <c r="O32" i="1"/>
  <c r="O33" i="1"/>
  <c r="M33" i="1"/>
  <c r="M32" i="1"/>
  <c r="L33" i="1"/>
  <c r="L32" i="1"/>
  <c r="J32" i="1"/>
  <c r="J33" i="1"/>
  <c r="G32" i="1"/>
  <c r="G33" i="1"/>
</calcChain>
</file>

<file path=xl/sharedStrings.xml><?xml version="1.0" encoding="utf-8"?>
<sst xmlns="http://schemas.openxmlformats.org/spreadsheetml/2006/main" count="160" uniqueCount="113">
  <si>
    <t>인원현황</t>
    <phoneticPr fontId="2" type="noConversion"/>
  </si>
  <si>
    <t>성명</t>
    <phoneticPr fontId="2" type="noConversion"/>
  </si>
  <si>
    <t>입국</t>
    <phoneticPr fontId="2" type="noConversion"/>
  </si>
  <si>
    <t>출국</t>
    <phoneticPr fontId="2" type="noConversion"/>
  </si>
  <si>
    <t>기타</t>
    <phoneticPr fontId="2" type="noConversion"/>
  </si>
  <si>
    <t>출장</t>
    <phoneticPr fontId="2" type="noConversion"/>
  </si>
  <si>
    <t>출근</t>
    <phoneticPr fontId="2" type="noConversion"/>
  </si>
  <si>
    <t>구분</t>
    <phoneticPr fontId="2" type="noConversion"/>
  </si>
  <si>
    <t>총원</t>
    <phoneticPr fontId="2" type="noConversion"/>
  </si>
  <si>
    <t>출근시간</t>
    <phoneticPr fontId="2" type="noConversion"/>
  </si>
  <si>
    <t>총연차</t>
    <phoneticPr fontId="2" type="noConversion"/>
  </si>
  <si>
    <t>근무일수</t>
    <phoneticPr fontId="2" type="noConversion"/>
  </si>
  <si>
    <t>남은연차일수</t>
    <phoneticPr fontId="2" type="noConversion"/>
  </si>
  <si>
    <t>출근자</t>
    <phoneticPr fontId="2" type="noConversion"/>
  </si>
  <si>
    <t>연차 및 기타</t>
    <phoneticPr fontId="2" type="noConversion"/>
  </si>
  <si>
    <t>비고</t>
    <phoneticPr fontId="2" type="noConversion"/>
  </si>
  <si>
    <t>생산부</t>
    <phoneticPr fontId="2" type="noConversion"/>
  </si>
  <si>
    <t>생산1부</t>
    <phoneticPr fontId="2" type="noConversion"/>
  </si>
  <si>
    <t>생산2부</t>
    <phoneticPr fontId="2" type="noConversion"/>
  </si>
  <si>
    <t>검단/공무</t>
    <phoneticPr fontId="2" type="noConversion"/>
  </si>
  <si>
    <t>영업부</t>
    <phoneticPr fontId="2" type="noConversion"/>
  </si>
  <si>
    <t>해외출장자</t>
    <phoneticPr fontId="2" type="noConversion"/>
  </si>
  <si>
    <t>생산직</t>
    <phoneticPr fontId="2" type="noConversion"/>
  </si>
  <si>
    <t>사무직</t>
    <phoneticPr fontId="2" type="noConversion"/>
  </si>
  <si>
    <t>연구</t>
    <phoneticPr fontId="2" type="noConversion"/>
  </si>
  <si>
    <t>계</t>
    <phoneticPr fontId="2" type="noConversion"/>
  </si>
  <si>
    <t>경비(주야근무)</t>
    <phoneticPr fontId="2" type="noConversion"/>
  </si>
  <si>
    <t>사무실</t>
    <phoneticPr fontId="2" type="noConversion"/>
  </si>
  <si>
    <t>임원</t>
    <phoneticPr fontId="2" type="noConversion"/>
  </si>
  <si>
    <t>기획실</t>
    <phoneticPr fontId="2" type="noConversion"/>
  </si>
  <si>
    <t>관리회계</t>
    <phoneticPr fontId="2" type="noConversion"/>
  </si>
  <si>
    <t>관리총무/IT</t>
    <phoneticPr fontId="2" type="noConversion"/>
  </si>
  <si>
    <t>해외영업부</t>
    <phoneticPr fontId="2" type="noConversion"/>
  </si>
  <si>
    <t>영업관리부</t>
    <phoneticPr fontId="2" type="noConversion"/>
  </si>
  <si>
    <t>연구실</t>
    <phoneticPr fontId="2" type="noConversion"/>
  </si>
  <si>
    <t>총 무 일 지</t>
    <phoneticPr fontId="2" type="noConversion"/>
  </si>
  <si>
    <t>해외출장자 출근현황 (출근 O, 휴가 X, 반차 △)</t>
    <phoneticPr fontId="2" type="noConversion"/>
  </si>
  <si>
    <t>-</t>
    <phoneticPr fontId="2" type="noConversion"/>
  </si>
  <si>
    <t>연도</t>
    <phoneticPr fontId="2" type="noConversion"/>
  </si>
  <si>
    <t>신정</t>
    <phoneticPr fontId="6" type="noConversion"/>
  </si>
  <si>
    <t>대체휴일</t>
    <phoneticPr fontId="2" type="noConversion"/>
  </si>
  <si>
    <t>설날</t>
    <phoneticPr fontId="6" type="noConversion"/>
  </si>
  <si>
    <t>삼일절</t>
    <phoneticPr fontId="2" type="noConversion"/>
  </si>
  <si>
    <t>부처님오신날</t>
    <phoneticPr fontId="6" type="noConversion"/>
  </si>
  <si>
    <t>대통령 선거</t>
    <phoneticPr fontId="2" type="noConversion"/>
  </si>
  <si>
    <t>현충일</t>
    <phoneticPr fontId="6" type="noConversion"/>
  </si>
  <si>
    <t>광복절</t>
    <phoneticPr fontId="6" type="noConversion"/>
  </si>
  <si>
    <t>개천절</t>
    <phoneticPr fontId="6" type="noConversion"/>
  </si>
  <si>
    <t>추석</t>
    <phoneticPr fontId="6" type="noConversion"/>
  </si>
  <si>
    <t>한글날</t>
    <phoneticPr fontId="6" type="noConversion"/>
  </si>
  <si>
    <t>성탄절</t>
    <phoneticPr fontId="6" type="noConversion"/>
  </si>
  <si>
    <t>삼일절</t>
    <phoneticPr fontId="6" type="noConversion"/>
  </si>
  <si>
    <t>대체공휴일</t>
    <phoneticPr fontId="6" type="noConversion"/>
  </si>
  <si>
    <t>근로자의날</t>
    <phoneticPr fontId="6" type="noConversion"/>
  </si>
  <si>
    <t>어린이날</t>
    <phoneticPr fontId="6" type="noConversion"/>
  </si>
  <si>
    <t>석가탄신일</t>
    <phoneticPr fontId="6" type="noConversion"/>
  </si>
  <si>
    <t>지방선거</t>
    <phoneticPr fontId="6" type="noConversion"/>
  </si>
  <si>
    <t>검침사항</t>
    <phoneticPr fontId="2" type="noConversion"/>
  </si>
  <si>
    <t>단위</t>
    <phoneticPr fontId="2" type="noConversion"/>
  </si>
  <si>
    <t>전일검침</t>
    <phoneticPr fontId="2" type="noConversion"/>
  </si>
  <si>
    <t>당일검침</t>
    <phoneticPr fontId="2" type="noConversion"/>
  </si>
  <si>
    <t>전일사용량</t>
    <phoneticPr fontId="2" type="noConversion"/>
  </si>
  <si>
    <t>가스</t>
    <phoneticPr fontId="2" type="noConversion"/>
  </si>
  <si>
    <t>수도</t>
    <phoneticPr fontId="2" type="noConversion"/>
  </si>
  <si>
    <t>㎥</t>
    <phoneticPr fontId="2" type="noConversion"/>
  </si>
  <si>
    <t>Ton</t>
    <phoneticPr fontId="2" type="noConversion"/>
  </si>
  <si>
    <t>전기 사용량</t>
    <phoneticPr fontId="2" type="noConversion"/>
  </si>
  <si>
    <t>월 사용량</t>
    <phoneticPr fontId="2" type="noConversion"/>
  </si>
  <si>
    <t>비   고</t>
    <phoneticPr fontId="2" type="noConversion"/>
  </si>
  <si>
    <t>Kw/H</t>
    <phoneticPr fontId="2" type="noConversion"/>
  </si>
  <si>
    <t>태양광 설비발전사항</t>
    <phoneticPr fontId="2" type="noConversion"/>
  </si>
  <si>
    <t>날짜</t>
    <phoneticPr fontId="2" type="noConversion"/>
  </si>
  <si>
    <t>건물(113kW)</t>
    <phoneticPr fontId="2" type="noConversion"/>
  </si>
  <si>
    <t>자가(349.8kW)</t>
    <phoneticPr fontId="2" type="noConversion"/>
  </si>
  <si>
    <t>합계</t>
    <phoneticPr fontId="2" type="noConversion"/>
  </si>
  <si>
    <t>월 발전량</t>
    <phoneticPr fontId="2" type="noConversion"/>
  </si>
  <si>
    <t>전체 누적</t>
    <phoneticPr fontId="2" type="noConversion"/>
  </si>
  <si>
    <t>월 누적</t>
    <phoneticPr fontId="2" type="noConversion"/>
  </si>
  <si>
    <t>판매사업(275kW)</t>
    <phoneticPr fontId="2" type="noConversion"/>
  </si>
  <si>
    <t>REC 현황</t>
    <phoneticPr fontId="2" type="noConversion"/>
  </si>
  <si>
    <t>현재 REC 개수</t>
    <phoneticPr fontId="2" type="noConversion"/>
  </si>
  <si>
    <t>금일 REC 평균 가격</t>
    <phoneticPr fontId="2" type="noConversion"/>
  </si>
  <si>
    <t>점검사항</t>
    <phoneticPr fontId="2" type="noConversion"/>
  </si>
  <si>
    <t>가동 기계</t>
    <phoneticPr fontId="2" type="noConversion"/>
  </si>
  <si>
    <t>시간(h)</t>
    <phoneticPr fontId="2" type="noConversion"/>
  </si>
  <si>
    <t>온도(℃)</t>
    <phoneticPr fontId="2" type="noConversion"/>
  </si>
  <si>
    <t>콤프레샤</t>
    <phoneticPr fontId="2" type="noConversion"/>
  </si>
  <si>
    <t>압력용기</t>
    <phoneticPr fontId="2" type="noConversion"/>
  </si>
  <si>
    <t>안전밸브 작동 유무</t>
    <phoneticPr fontId="2" type="noConversion"/>
  </si>
  <si>
    <t>배관.누수</t>
    <phoneticPr fontId="2" type="noConversion"/>
  </si>
  <si>
    <t>응축수 배출상태</t>
    <phoneticPr fontId="2" type="noConversion"/>
  </si>
  <si>
    <t>업무사항</t>
    <phoneticPr fontId="2" type="noConversion"/>
  </si>
  <si>
    <t>특이사항</t>
    <phoneticPr fontId="2" type="noConversion"/>
  </si>
  <si>
    <t>익일업무 계획</t>
    <phoneticPr fontId="2" type="noConversion"/>
  </si>
  <si>
    <t>주간업무 계획</t>
    <phoneticPr fontId="2" type="noConversion"/>
  </si>
  <si>
    <t>박영희, 정동규, 서희근, 이주현, 조상현</t>
    <phoneticPr fontId="2" type="noConversion"/>
  </si>
  <si>
    <t>권영환, 이승현, 이규민</t>
    <phoneticPr fontId="2" type="noConversion"/>
  </si>
  <si>
    <t>최찬파, 김태형, 박광모(GJ)</t>
    <phoneticPr fontId="2" type="noConversion"/>
  </si>
  <si>
    <t>김정환, 권순재, 문기덕, 한부찬, 이설창, 문우빈</t>
    <phoneticPr fontId="2" type="noConversion"/>
  </si>
  <si>
    <t>주연훈</t>
    <phoneticPr fontId="2" type="noConversion"/>
  </si>
  <si>
    <t>정순진 휴직</t>
    <phoneticPr fontId="2" type="noConversion"/>
  </si>
  <si>
    <t>박인권 휴직
주현우 육아휴직(2025/8/1~2025/12/31)</t>
    <phoneticPr fontId="2" type="noConversion"/>
  </si>
  <si>
    <t>최철호 육아휴직(2025/9/23~2026/9/22)</t>
    <phoneticPr fontId="2" type="noConversion"/>
  </si>
  <si>
    <t>곽수영 사장 베트남 출장</t>
    <phoneticPr fontId="2" type="noConversion"/>
  </si>
  <si>
    <t>박윤모, 하태운, 김영철</t>
    <phoneticPr fontId="2" type="noConversion"/>
  </si>
  <si>
    <t>손태우</t>
    <phoneticPr fontId="2" type="noConversion"/>
  </si>
  <si>
    <t>문수만, 김주연, 김정환(SY), 김태은(SY)</t>
    <phoneticPr fontId="2" type="noConversion"/>
  </si>
  <si>
    <t>박정호, 황성욱, 최원석(HS), 하경호(HO)
김명수(GJ), 이명자, 김종상(SY), 박상진,
한귀빈</t>
    <phoneticPr fontId="2" type="noConversion"/>
  </si>
  <si>
    <t>하지훈, 이동원, 배강희(SY)</t>
    <phoneticPr fontId="2" type="noConversion"/>
  </si>
  <si>
    <t>김성희(HO), 박규리, 박나리(SY)</t>
    <phoneticPr fontId="2" type="noConversion"/>
  </si>
  <si>
    <t>이승희 육아휴직(25/12/13~27/4/12)</t>
    <phoneticPr fontId="2" type="noConversion"/>
  </si>
  <si>
    <t>박현태, 김병기, 박건우, 윤한훈, 오현진</t>
    <phoneticPr fontId="2" type="noConversion"/>
  </si>
  <si>
    <t>주현우 과장, 최철호 대리, 이승희 대리 육아휴직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</si>
</sst>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F800]dddd\,\ mmmm\ dd\,\ yyyy"/>
    <numFmt numFmtId="177" formatCode="[$-412]mm\/dd&quot;(&quot;ddd&quot;)&quot;;@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7" tint="-0.499984740745262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1">
      <alignment vertical="center"/>
    </xf>
    <xf numFmtId="14" fontId="1" fillId="0" borderId="0" xfId="1" applyNumberFormat="1">
      <alignment vertical="center"/>
    </xf>
    <xf numFmtId="0" fontId="0" fillId="0" borderId="7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>
      <alignment vertical="center"/>
    </xf>
    <xf numFmtId="177" fontId="0" fillId="0" borderId="8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0" xfId="0" applyFont="1">
      <alignment vertical="center"/>
    </xf>
    <xf numFmtId="0" fontId="8" fillId="0" borderId="16" xfId="0" applyFont="1" applyBorder="1">
      <alignment vertical="center"/>
    </xf>
    <xf numFmtId="0" fontId="8" fillId="0" borderId="17" xfId="0" applyFont="1" applyBorder="1">
      <alignment vertical="center"/>
    </xf>
    <xf numFmtId="0" fontId="8" fillId="0" borderId="18" xfId="0" applyFont="1" applyBorder="1">
      <alignment vertical="center"/>
    </xf>
    <xf numFmtId="0" fontId="8" fillId="0" borderId="19" xfId="0" applyFont="1" applyBorder="1">
      <alignment vertical="center"/>
    </xf>
    <xf numFmtId="176" fontId="8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 shrinkToFit="1"/>
    </xf>
    <xf numFmtId="14" fontId="7" fillId="2" borderId="7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8" fillId="0" borderId="8" xfId="2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 xr:uid="{83D5D7E9-A66B-4047-9C13-302631D5FA28}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647A-7089-4A36-9A5E-6F16D8F59A96}">
  <dimension ref="B1:U82"/>
  <sheetViews>
    <sheetView showGridLines="0" tabSelected="1" workbookViewId="0">
      <selection activeCell="D39" sqref="D39:F39"/>
    </sheetView>
  </sheetViews>
  <sheetFormatPr defaultRowHeight="16.5" x14ac:dyDescent="0.3"/>
  <cols>
    <col min="1" max="1" width="0.625" customWidth="1"/>
    <col min="2" max="2" width="10.625" bestFit="1" customWidth="1"/>
    <col min="5" max="17" width="3.625" customWidth="1"/>
    <col min="21" max="21" width="12" customWidth="1"/>
  </cols>
  <sheetData>
    <row r="1" spans="2:21" x14ac:dyDescent="0.3">
      <c r="B1" s="23" t="s">
        <v>35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2:21" x14ac:dyDescent="0.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2:21" x14ac:dyDescent="0.3">
      <c r="B3" t="s">
        <v>0</v>
      </c>
      <c r="S3" s="22">
        <v>46008</v>
      </c>
      <c r="T3" s="22"/>
      <c r="U3" s="22"/>
    </row>
    <row r="4" spans="2:21" x14ac:dyDescent="0.3">
      <c r="B4" s="24" t="s">
        <v>7</v>
      </c>
      <c r="C4" s="24"/>
      <c r="D4" s="1" t="s">
        <v>8</v>
      </c>
      <c r="E4" s="24" t="s">
        <v>6</v>
      </c>
      <c r="F4" s="24"/>
      <c r="G4" s="24" t="s">
        <v>5</v>
      </c>
      <c r="H4" s="24"/>
      <c r="I4" s="24" t="s">
        <v>4</v>
      </c>
      <c r="J4" s="24"/>
      <c r="K4" s="35" t="s">
        <v>15</v>
      </c>
      <c r="L4" s="36"/>
      <c r="M4" s="36"/>
      <c r="N4" s="36"/>
      <c r="O4" s="36"/>
      <c r="P4" s="36"/>
      <c r="Q4" s="36"/>
      <c r="R4" s="36"/>
      <c r="S4" s="36"/>
      <c r="T4" s="36"/>
      <c r="U4" s="37"/>
    </row>
    <row r="5" spans="2:21" x14ac:dyDescent="0.3">
      <c r="B5" s="24" t="s">
        <v>22</v>
      </c>
      <c r="C5" s="24"/>
      <c r="D5" s="10">
        <f>SUM(D13:D17)</f>
        <v>21</v>
      </c>
      <c r="E5" s="27">
        <f>SUM(E13:F17)</f>
        <v>16</v>
      </c>
      <c r="F5" s="27"/>
      <c r="G5" s="27">
        <f>SUM(G13:H17)</f>
        <v>1</v>
      </c>
      <c r="H5" s="27"/>
      <c r="I5" s="27">
        <f>SUM(I13:J17)</f>
        <v>4</v>
      </c>
      <c r="J5" s="27"/>
      <c r="K5" s="32" t="s">
        <v>112</v>
      </c>
      <c r="L5" s="33"/>
      <c r="M5" s="33"/>
      <c r="N5" s="33"/>
      <c r="O5" s="33"/>
      <c r="P5" s="33"/>
      <c r="Q5" s="33"/>
      <c r="R5" s="33"/>
      <c r="S5" s="33"/>
      <c r="T5" s="33"/>
      <c r="U5" s="34"/>
    </row>
    <row r="6" spans="2:21" x14ac:dyDescent="0.3">
      <c r="B6" s="24" t="s">
        <v>23</v>
      </c>
      <c r="C6" s="24"/>
      <c r="D6" s="10">
        <f>SUM(D20:D25)</f>
        <v>15</v>
      </c>
      <c r="E6" s="27">
        <f>SUM(E20:F25)</f>
        <v>14</v>
      </c>
      <c r="F6" s="27"/>
      <c r="G6" s="27">
        <f>SUM(G20:H25)</f>
        <v>0</v>
      </c>
      <c r="H6" s="27"/>
      <c r="I6" s="27">
        <f>SUM(I20:J25)</f>
        <v>1</v>
      </c>
      <c r="J6" s="27"/>
      <c r="K6" s="32"/>
      <c r="L6" s="33"/>
      <c r="M6" s="33"/>
      <c r="N6" s="33"/>
      <c r="O6" s="33"/>
      <c r="P6" s="33"/>
      <c r="Q6" s="33"/>
      <c r="R6" s="33"/>
      <c r="S6" s="33"/>
      <c r="T6" s="33"/>
      <c r="U6" s="34"/>
    </row>
    <row r="7" spans="2:21" x14ac:dyDescent="0.3">
      <c r="B7" s="24" t="s">
        <v>24</v>
      </c>
      <c r="C7" s="24"/>
      <c r="D7" s="10">
        <f>SUM(D28)</f>
        <v>5</v>
      </c>
      <c r="E7" s="27">
        <f>SUM(E28)</f>
        <v>5</v>
      </c>
      <c r="F7" s="27"/>
      <c r="G7" s="27">
        <f>SUM(G28)</f>
        <v>0</v>
      </c>
      <c r="H7" s="27"/>
      <c r="I7" s="27">
        <f>SUM(I28)</f>
        <v>0</v>
      </c>
      <c r="J7" s="27"/>
      <c r="K7" s="32"/>
      <c r="L7" s="33"/>
      <c r="M7" s="33"/>
      <c r="N7" s="33"/>
      <c r="O7" s="33"/>
      <c r="P7" s="33"/>
      <c r="Q7" s="33"/>
      <c r="R7" s="33"/>
      <c r="S7" s="33"/>
      <c r="T7" s="33"/>
      <c r="U7" s="34"/>
    </row>
    <row r="8" spans="2:21" x14ac:dyDescent="0.3">
      <c r="B8" s="24" t="s">
        <v>25</v>
      </c>
      <c r="C8" s="24"/>
      <c r="D8" s="10">
        <f>SUM(D5:D7)</f>
        <v>41</v>
      </c>
      <c r="E8" s="27">
        <f>SUM(E5:F7)</f>
        <v>35</v>
      </c>
      <c r="F8" s="27"/>
      <c r="G8" s="27">
        <f>SUM(G5:H7)</f>
        <v>1</v>
      </c>
      <c r="H8" s="27"/>
      <c r="I8" s="27">
        <f>SUM(I5:J7)</f>
        <v>5</v>
      </c>
      <c r="J8" s="27"/>
      <c r="K8" s="32"/>
      <c r="L8" s="33"/>
      <c r="M8" s="33"/>
      <c r="N8" s="33"/>
      <c r="O8" s="33"/>
      <c r="P8" s="33"/>
      <c r="Q8" s="33"/>
      <c r="R8" s="33"/>
      <c r="S8" s="33"/>
      <c r="T8" s="33"/>
      <c r="U8" s="34"/>
    </row>
    <row r="9" spans="2:21" x14ac:dyDescent="0.3">
      <c r="B9" s="35"/>
      <c r="C9" s="36"/>
      <c r="D9" s="36"/>
      <c r="E9" s="36"/>
      <c r="F9" s="36"/>
      <c r="G9" s="36"/>
      <c r="H9" s="36"/>
      <c r="I9" s="36"/>
      <c r="J9" s="37"/>
      <c r="K9" s="35"/>
      <c r="L9" s="36"/>
      <c r="M9" s="36"/>
      <c r="N9" s="36"/>
      <c r="O9" s="36"/>
      <c r="P9" s="36"/>
      <c r="Q9" s="36"/>
      <c r="R9" s="36"/>
      <c r="S9" s="36"/>
      <c r="T9" s="36"/>
      <c r="U9" s="37"/>
    </row>
    <row r="10" spans="2:21" x14ac:dyDescent="0.3">
      <c r="B10" s="24" t="s">
        <v>26</v>
      </c>
      <c r="C10" s="24"/>
      <c r="D10" s="10">
        <v>2</v>
      </c>
      <c r="E10" s="38" t="s">
        <v>99</v>
      </c>
      <c r="F10" s="39"/>
      <c r="G10" s="39"/>
      <c r="H10" s="39"/>
      <c r="I10" s="39"/>
      <c r="J10" s="40"/>
      <c r="K10" s="32"/>
      <c r="L10" s="33"/>
      <c r="M10" s="33"/>
      <c r="N10" s="33"/>
      <c r="O10" s="33"/>
      <c r="P10" s="33"/>
      <c r="Q10" s="33"/>
      <c r="R10" s="33"/>
      <c r="S10" s="33"/>
      <c r="T10" s="33"/>
      <c r="U10" s="34"/>
    </row>
    <row r="12" spans="2:21" x14ac:dyDescent="0.3">
      <c r="B12" s="24" t="s">
        <v>16</v>
      </c>
      <c r="C12" s="24"/>
      <c r="D12" s="1" t="s">
        <v>8</v>
      </c>
      <c r="E12" s="24" t="s">
        <v>6</v>
      </c>
      <c r="F12" s="24"/>
      <c r="G12" s="24" t="s">
        <v>5</v>
      </c>
      <c r="H12" s="24"/>
      <c r="I12" s="24" t="s">
        <v>4</v>
      </c>
      <c r="J12" s="24"/>
      <c r="K12" s="24" t="s">
        <v>13</v>
      </c>
      <c r="L12" s="24"/>
      <c r="M12" s="24"/>
      <c r="N12" s="24"/>
      <c r="O12" s="24"/>
      <c r="P12" s="24"/>
      <c r="Q12" s="24"/>
      <c r="R12" s="24"/>
      <c r="S12" s="24" t="s">
        <v>14</v>
      </c>
      <c r="T12" s="24"/>
      <c r="U12" s="24"/>
    </row>
    <row r="13" spans="2:21" ht="36" customHeight="1" x14ac:dyDescent="0.3">
      <c r="B13" s="24" t="s">
        <v>17</v>
      </c>
      <c r="C13" s="24"/>
      <c r="D13" s="10">
        <v>6</v>
      </c>
      <c r="E13" s="27">
        <f>D13-SUM(G13:J13)</f>
        <v>5</v>
      </c>
      <c r="F13" s="27"/>
      <c r="G13" s="27">
        <v>0</v>
      </c>
      <c r="H13" s="27"/>
      <c r="I13" s="27">
        <v>1</v>
      </c>
      <c r="J13" s="27"/>
      <c r="K13" s="31" t="s">
        <v>95</v>
      </c>
      <c r="L13" s="31"/>
      <c r="M13" s="31"/>
      <c r="N13" s="31"/>
      <c r="O13" s="31"/>
      <c r="P13" s="31"/>
      <c r="Q13" s="31"/>
      <c r="R13" s="31"/>
      <c r="S13" s="29" t="s">
        <v>100</v>
      </c>
      <c r="T13" s="30"/>
      <c r="U13" s="30"/>
    </row>
    <row r="14" spans="2:21" ht="36" customHeight="1" x14ac:dyDescent="0.3">
      <c r="B14" s="24" t="s">
        <v>18</v>
      </c>
      <c r="C14" s="24"/>
      <c r="D14" s="10">
        <v>5</v>
      </c>
      <c r="E14" s="27">
        <f t="shared" ref="E14:E17" si="0">D14-SUM(G14:J14)</f>
        <v>3</v>
      </c>
      <c r="F14" s="27"/>
      <c r="G14" s="27">
        <v>0</v>
      </c>
      <c r="H14" s="27"/>
      <c r="I14" s="27">
        <v>2</v>
      </c>
      <c r="J14" s="27"/>
      <c r="K14" s="31" t="s">
        <v>96</v>
      </c>
      <c r="L14" s="31"/>
      <c r="M14" s="31"/>
      <c r="N14" s="31"/>
      <c r="O14" s="31"/>
      <c r="P14" s="31"/>
      <c r="Q14" s="31"/>
      <c r="R14" s="31"/>
      <c r="S14" s="41" t="s">
        <v>101</v>
      </c>
      <c r="T14" s="41"/>
      <c r="U14" s="41"/>
    </row>
    <row r="15" spans="2:21" ht="36" customHeight="1" x14ac:dyDescent="0.3">
      <c r="B15" s="24" t="s">
        <v>19</v>
      </c>
      <c r="C15" s="24"/>
      <c r="D15" s="10">
        <v>2</v>
      </c>
      <c r="E15" s="27">
        <f t="shared" si="0"/>
        <v>2</v>
      </c>
      <c r="F15" s="27"/>
      <c r="G15" s="27">
        <v>0</v>
      </c>
      <c r="H15" s="27"/>
      <c r="I15" s="27"/>
      <c r="J15" s="27"/>
      <c r="K15" s="31" t="s">
        <v>97</v>
      </c>
      <c r="L15" s="31"/>
      <c r="M15" s="31"/>
      <c r="N15" s="31"/>
      <c r="O15" s="31"/>
      <c r="P15" s="31"/>
      <c r="Q15" s="31"/>
      <c r="R15" s="31"/>
      <c r="S15" s="28"/>
      <c r="T15" s="28"/>
      <c r="U15" s="28"/>
    </row>
    <row r="16" spans="2:21" ht="36" customHeight="1" x14ac:dyDescent="0.3">
      <c r="B16" s="24" t="s">
        <v>20</v>
      </c>
      <c r="C16" s="24"/>
      <c r="D16" s="10">
        <v>7</v>
      </c>
      <c r="E16" s="27">
        <f t="shared" si="0"/>
        <v>6</v>
      </c>
      <c r="F16" s="27"/>
      <c r="G16" s="27">
        <v>0</v>
      </c>
      <c r="H16" s="27"/>
      <c r="I16" s="27">
        <v>1</v>
      </c>
      <c r="J16" s="27"/>
      <c r="K16" s="31" t="s">
        <v>98</v>
      </c>
      <c r="L16" s="31"/>
      <c r="M16" s="31"/>
      <c r="N16" s="31"/>
      <c r="O16" s="31"/>
      <c r="P16" s="31"/>
      <c r="Q16" s="31"/>
      <c r="R16" s="31"/>
      <c r="S16" s="29" t="s">
        <v>102</v>
      </c>
      <c r="T16" s="30"/>
      <c r="U16" s="30"/>
    </row>
    <row r="17" spans="2:21" x14ac:dyDescent="0.3">
      <c r="B17" s="24" t="s">
        <v>21</v>
      </c>
      <c r="C17" s="24"/>
      <c r="D17" s="10">
        <v>1</v>
      </c>
      <c r="E17" s="27">
        <f t="shared" si="0"/>
        <v>0</v>
      </c>
      <c r="F17" s="27"/>
      <c r="G17" s="27">
        <v>1</v>
      </c>
      <c r="H17" s="27"/>
      <c r="I17" s="27">
        <v>0</v>
      </c>
      <c r="J17" s="27"/>
      <c r="K17" s="31"/>
      <c r="L17" s="31"/>
      <c r="M17" s="31"/>
      <c r="N17" s="31"/>
      <c r="O17" s="31"/>
      <c r="P17" s="31"/>
      <c r="Q17" s="31"/>
      <c r="R17" s="31"/>
      <c r="S17" s="29" t="s">
        <v>103</v>
      </c>
      <c r="T17" s="30"/>
      <c r="U17" s="30"/>
    </row>
    <row r="19" spans="2:21" x14ac:dyDescent="0.3">
      <c r="B19" s="24" t="s">
        <v>27</v>
      </c>
      <c r="C19" s="24"/>
      <c r="D19" s="1" t="s">
        <v>8</v>
      </c>
      <c r="E19" s="24" t="s">
        <v>6</v>
      </c>
      <c r="F19" s="24"/>
      <c r="G19" s="24" t="s">
        <v>5</v>
      </c>
      <c r="H19" s="24"/>
      <c r="I19" s="24" t="s">
        <v>4</v>
      </c>
      <c r="J19" s="24"/>
      <c r="K19" s="24" t="s">
        <v>13</v>
      </c>
      <c r="L19" s="24"/>
      <c r="M19" s="24"/>
      <c r="N19" s="24"/>
      <c r="O19" s="24"/>
      <c r="P19" s="24"/>
      <c r="Q19" s="24"/>
      <c r="R19" s="24"/>
      <c r="S19" s="24" t="s">
        <v>14</v>
      </c>
      <c r="T19" s="24"/>
      <c r="U19" s="24"/>
    </row>
    <row r="20" spans="2:21" ht="24" customHeight="1" x14ac:dyDescent="0.3">
      <c r="B20" s="24" t="s">
        <v>28</v>
      </c>
      <c r="C20" s="24"/>
      <c r="D20" s="10">
        <v>3</v>
      </c>
      <c r="E20" s="27">
        <f t="shared" ref="E20:E25" si="1">D20-SUM(G20:J20)</f>
        <v>3</v>
      </c>
      <c r="F20" s="27"/>
      <c r="G20" s="27">
        <v>0</v>
      </c>
      <c r="H20" s="27"/>
      <c r="I20" s="27">
        <v>0</v>
      </c>
      <c r="J20" s="27"/>
      <c r="K20" s="28" t="s">
        <v>104</v>
      </c>
      <c r="L20" s="28"/>
      <c r="M20" s="28"/>
      <c r="N20" s="28"/>
      <c r="O20" s="28"/>
      <c r="P20" s="28"/>
      <c r="Q20" s="28"/>
      <c r="R20" s="28"/>
      <c r="S20" s="27"/>
      <c r="T20" s="27"/>
      <c r="U20" s="27"/>
    </row>
    <row r="21" spans="2:21" ht="24" customHeight="1" x14ac:dyDescent="0.3">
      <c r="B21" s="24" t="s">
        <v>29</v>
      </c>
      <c r="C21" s="24"/>
      <c r="D21" s="10">
        <v>1</v>
      </c>
      <c r="E21" s="27">
        <f t="shared" si="1"/>
        <v>1</v>
      </c>
      <c r="F21" s="27"/>
      <c r="G21" s="27">
        <v>0</v>
      </c>
      <c r="H21" s="27"/>
      <c r="I21" s="27">
        <v>0</v>
      </c>
      <c r="J21" s="27"/>
      <c r="K21" s="28" t="s">
        <v>105</v>
      </c>
      <c r="L21" s="28"/>
      <c r="M21" s="28"/>
      <c r="N21" s="28"/>
      <c r="O21" s="28"/>
      <c r="P21" s="28"/>
      <c r="Q21" s="28"/>
      <c r="R21" s="28"/>
      <c r="S21" s="27"/>
      <c r="T21" s="27"/>
      <c r="U21" s="27"/>
    </row>
    <row r="22" spans="2:21" ht="36" customHeight="1" x14ac:dyDescent="0.3">
      <c r="B22" s="24" t="s">
        <v>30</v>
      </c>
      <c r="C22" s="24"/>
      <c r="D22" s="10">
        <v>2</v>
      </c>
      <c r="E22" s="27">
        <f t="shared" si="1"/>
        <v>2</v>
      </c>
      <c r="F22" s="27"/>
      <c r="G22" s="27">
        <v>0</v>
      </c>
      <c r="H22" s="27"/>
      <c r="I22" s="27">
        <v>0</v>
      </c>
      <c r="J22" s="27"/>
      <c r="K22" s="28" t="s">
        <v>106</v>
      </c>
      <c r="L22" s="28"/>
      <c r="M22" s="28"/>
      <c r="N22" s="28"/>
      <c r="O22" s="28"/>
      <c r="P22" s="28"/>
      <c r="Q22" s="28"/>
      <c r="R22" s="28"/>
      <c r="S22" s="27"/>
      <c r="T22" s="27"/>
      <c r="U22" s="27"/>
    </row>
    <row r="23" spans="2:21" ht="60" customHeight="1" x14ac:dyDescent="0.3">
      <c r="B23" s="24" t="s">
        <v>31</v>
      </c>
      <c r="C23" s="24"/>
      <c r="D23" s="10">
        <v>5</v>
      </c>
      <c r="E23" s="27">
        <f t="shared" si="1"/>
        <v>5</v>
      </c>
      <c r="F23" s="27"/>
      <c r="G23" s="27">
        <v>0</v>
      </c>
      <c r="H23" s="27"/>
      <c r="I23" s="27">
        <v>0</v>
      </c>
      <c r="J23" s="27"/>
      <c r="K23" s="31" t="s">
        <v>107</v>
      </c>
      <c r="L23" s="28"/>
      <c r="M23" s="28"/>
      <c r="N23" s="28"/>
      <c r="O23" s="28"/>
      <c r="P23" s="28"/>
      <c r="Q23" s="28"/>
      <c r="R23" s="28"/>
      <c r="S23" s="27"/>
      <c r="T23" s="27"/>
      <c r="U23" s="27"/>
    </row>
    <row r="24" spans="2:21" ht="24" customHeight="1" x14ac:dyDescent="0.3">
      <c r="B24" s="24" t="s">
        <v>32</v>
      </c>
      <c r="C24" s="24"/>
      <c r="D24" s="10">
        <v>2</v>
      </c>
      <c r="E24" s="27">
        <f t="shared" si="1"/>
        <v>2</v>
      </c>
      <c r="F24" s="27"/>
      <c r="G24" s="27">
        <v>0</v>
      </c>
      <c r="H24" s="27"/>
      <c r="I24" s="27">
        <v>0</v>
      </c>
      <c r="J24" s="27"/>
      <c r="K24" s="28" t="s">
        <v>108</v>
      </c>
      <c r="L24" s="28"/>
      <c r="M24" s="28"/>
      <c r="N24" s="28"/>
      <c r="O24" s="28"/>
      <c r="P24" s="28"/>
      <c r="Q24" s="28"/>
      <c r="R24" s="28"/>
      <c r="S24" s="27"/>
      <c r="T24" s="27"/>
      <c r="U24" s="27"/>
    </row>
    <row r="25" spans="2:21" ht="24" customHeight="1" x14ac:dyDescent="0.3">
      <c r="B25" s="24" t="s">
        <v>33</v>
      </c>
      <c r="C25" s="24"/>
      <c r="D25" s="10">
        <v>2</v>
      </c>
      <c r="E25" s="27">
        <f t="shared" si="1"/>
        <v>1</v>
      </c>
      <c r="F25" s="27"/>
      <c r="G25" s="27">
        <v>0</v>
      </c>
      <c r="H25" s="27"/>
      <c r="I25" s="27">
        <v>1</v>
      </c>
      <c r="J25" s="27"/>
      <c r="K25" s="28" t="s">
        <v>109</v>
      </c>
      <c r="L25" s="28"/>
      <c r="M25" s="28"/>
      <c r="N25" s="28"/>
      <c r="O25" s="28"/>
      <c r="P25" s="28"/>
      <c r="Q25" s="28"/>
      <c r="R25" s="28"/>
      <c r="S25" s="29" t="s">
        <v>110</v>
      </c>
      <c r="T25" s="30"/>
      <c r="U25" s="30"/>
    </row>
    <row r="26" spans="2:2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3">
      <c r="B27" s="24" t="s">
        <v>34</v>
      </c>
      <c r="C27" s="24"/>
      <c r="D27" s="1" t="s">
        <v>8</v>
      </c>
      <c r="E27" s="24" t="s">
        <v>6</v>
      </c>
      <c r="F27" s="24"/>
      <c r="G27" s="24" t="s">
        <v>5</v>
      </c>
      <c r="H27" s="24"/>
      <c r="I27" s="24" t="s">
        <v>4</v>
      </c>
      <c r="J27" s="24"/>
      <c r="K27" s="24" t="s">
        <v>13</v>
      </c>
      <c r="L27" s="24"/>
      <c r="M27" s="24"/>
      <c r="N27" s="24"/>
      <c r="O27" s="24"/>
      <c r="P27" s="24"/>
      <c r="Q27" s="24"/>
      <c r="R27" s="24"/>
      <c r="S27" s="24" t="s">
        <v>14</v>
      </c>
      <c r="T27" s="24"/>
      <c r="U27" s="24"/>
    </row>
    <row r="28" spans="2:21" ht="36" customHeight="1" x14ac:dyDescent="0.3">
      <c r="B28" s="24" t="s">
        <v>34</v>
      </c>
      <c r="C28" s="24"/>
      <c r="D28" s="10">
        <v>5</v>
      </c>
      <c r="E28" s="27">
        <f t="shared" ref="E28" si="2">D28-SUM(G28:J28)</f>
        <v>5</v>
      </c>
      <c r="F28" s="27"/>
      <c r="G28" s="27">
        <v>0</v>
      </c>
      <c r="H28" s="27"/>
      <c r="I28" s="27">
        <v>0</v>
      </c>
      <c r="J28" s="27"/>
      <c r="K28" s="27" t="s">
        <v>111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</row>
    <row r="30" spans="2:21" x14ac:dyDescent="0.3">
      <c r="B30" t="s">
        <v>36</v>
      </c>
      <c r="I30" s="42">
        <v>46028</v>
      </c>
      <c r="J30" s="42"/>
      <c r="K30" s="42"/>
      <c r="L30" s="6" t="s">
        <v>37</v>
      </c>
      <c r="M30" s="43">
        <f>I30+12</f>
        <v>46040</v>
      </c>
      <c r="N30" s="43"/>
      <c r="O30" s="43"/>
    </row>
    <row r="31" spans="2:21" ht="7.5" hidden="1" customHeight="1" x14ac:dyDescent="0.3">
      <c r="E31" s="3">
        <f>I30</f>
        <v>46028</v>
      </c>
      <c r="F31" s="3">
        <f>$E$31+1</f>
        <v>46029</v>
      </c>
      <c r="G31" s="3">
        <f>$E$31+2</f>
        <v>46030</v>
      </c>
      <c r="H31" s="3">
        <f>$E$31+3</f>
        <v>46031</v>
      </c>
      <c r="I31" s="3">
        <f>$E$31+4</f>
        <v>46032</v>
      </c>
      <c r="J31" s="3">
        <f>$E$31+5</f>
        <v>46033</v>
      </c>
      <c r="K31" s="3">
        <f>$E$31+6</f>
        <v>46034</v>
      </c>
      <c r="L31" s="3">
        <f>$E$31+7</f>
        <v>46035</v>
      </c>
      <c r="M31" s="3">
        <f>$E$31+8</f>
        <v>46036</v>
      </c>
      <c r="N31" s="3">
        <f>$E$31+9</f>
        <v>46037</v>
      </c>
      <c r="O31" s="3">
        <f>$E$31+10</f>
        <v>46038</v>
      </c>
      <c r="P31" s="3">
        <f>$E$31+11</f>
        <v>46039</v>
      </c>
      <c r="Q31" s="3">
        <f>$E$31+12</f>
        <v>46040</v>
      </c>
    </row>
    <row r="32" spans="2:21" x14ac:dyDescent="0.3">
      <c r="B32" s="24" t="s">
        <v>1</v>
      </c>
      <c r="C32" s="24" t="s">
        <v>2</v>
      </c>
      <c r="D32" s="24" t="s">
        <v>3</v>
      </c>
      <c r="E32" s="1">
        <f>DAY(E31)</f>
        <v>6</v>
      </c>
      <c r="F32" s="1">
        <f t="shared" ref="F32:Q32" si="3">DAY(F31)</f>
        <v>7</v>
      </c>
      <c r="G32" s="1">
        <f t="shared" si="3"/>
        <v>8</v>
      </c>
      <c r="H32" s="1">
        <f t="shared" si="3"/>
        <v>9</v>
      </c>
      <c r="I32" s="1">
        <f t="shared" si="3"/>
        <v>10</v>
      </c>
      <c r="J32" s="1">
        <f t="shared" si="3"/>
        <v>11</v>
      </c>
      <c r="K32" s="1">
        <f t="shared" si="3"/>
        <v>12</v>
      </c>
      <c r="L32" s="1">
        <f t="shared" si="3"/>
        <v>13</v>
      </c>
      <c r="M32" s="1">
        <f t="shared" si="3"/>
        <v>14</v>
      </c>
      <c r="N32" s="1">
        <f t="shared" si="3"/>
        <v>15</v>
      </c>
      <c r="O32" s="1">
        <f t="shared" si="3"/>
        <v>16</v>
      </c>
      <c r="P32" s="1">
        <f t="shared" si="3"/>
        <v>17</v>
      </c>
      <c r="Q32" s="1">
        <f t="shared" si="3"/>
        <v>18</v>
      </c>
      <c r="R32" s="25" t="s">
        <v>9</v>
      </c>
      <c r="S32" s="25" t="s">
        <v>10</v>
      </c>
      <c r="T32" s="25" t="s">
        <v>11</v>
      </c>
      <c r="U32" s="45" t="s">
        <v>12</v>
      </c>
    </row>
    <row r="33" spans="2:21" x14ac:dyDescent="0.3">
      <c r="B33" s="24"/>
      <c r="C33" s="24"/>
      <c r="D33" s="24"/>
      <c r="E33" s="1" t="str">
        <f>TEXT(E31,"aaa")</f>
        <v>화</v>
      </c>
      <c r="F33" s="1" t="str">
        <f t="shared" ref="F33:Q33" si="4">TEXT(F31,"aaa")</f>
        <v>수</v>
      </c>
      <c r="G33" s="1" t="str">
        <f t="shared" si="4"/>
        <v>목</v>
      </c>
      <c r="H33" s="1" t="str">
        <f t="shared" si="4"/>
        <v>금</v>
      </c>
      <c r="I33" s="1" t="str">
        <f t="shared" si="4"/>
        <v>토</v>
      </c>
      <c r="J33" s="1" t="str">
        <f t="shared" si="4"/>
        <v>일</v>
      </c>
      <c r="K33" s="1" t="str">
        <f t="shared" si="4"/>
        <v>월</v>
      </c>
      <c r="L33" s="1" t="str">
        <f t="shared" si="4"/>
        <v>화</v>
      </c>
      <c r="M33" s="1" t="str">
        <f t="shared" si="4"/>
        <v>수</v>
      </c>
      <c r="N33" s="1" t="str">
        <f t="shared" si="4"/>
        <v>목</v>
      </c>
      <c r="O33" s="1" t="str">
        <f t="shared" si="4"/>
        <v>금</v>
      </c>
      <c r="P33" s="1" t="str">
        <f t="shared" si="4"/>
        <v>토</v>
      </c>
      <c r="Q33" s="1" t="str">
        <f t="shared" si="4"/>
        <v>일</v>
      </c>
      <c r="R33" s="26"/>
      <c r="S33" s="26"/>
      <c r="T33" s="26"/>
      <c r="U33" s="46"/>
    </row>
    <row r="34" spans="2:2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2:2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7" spans="2:21" x14ac:dyDescent="0.3">
      <c r="B37" t="s">
        <v>57</v>
      </c>
    </row>
    <row r="38" spans="2:21" x14ac:dyDescent="0.3">
      <c r="B38" s="7" t="s">
        <v>7</v>
      </c>
      <c r="C38" s="7" t="s">
        <v>58</v>
      </c>
      <c r="D38" s="44" t="s">
        <v>59</v>
      </c>
      <c r="E38" s="44"/>
      <c r="F38" s="44"/>
      <c r="G38" s="44" t="s">
        <v>60</v>
      </c>
      <c r="H38" s="44"/>
      <c r="I38" s="44"/>
      <c r="J38" s="44"/>
      <c r="K38" s="44" t="s">
        <v>61</v>
      </c>
      <c r="L38" s="44"/>
      <c r="M38" s="44"/>
      <c r="N38" s="44"/>
      <c r="O38" s="44" t="s">
        <v>68</v>
      </c>
      <c r="P38" s="44"/>
      <c r="Q38" s="44"/>
      <c r="R38" s="44"/>
      <c r="S38" s="44"/>
      <c r="T38" s="44"/>
      <c r="U38" s="44"/>
    </row>
    <row r="39" spans="2:21" x14ac:dyDescent="0.3">
      <c r="B39" s="7" t="s">
        <v>62</v>
      </c>
      <c r="C39" s="7" t="s">
        <v>64</v>
      </c>
      <c r="D39" s="47"/>
      <c r="E39" s="47"/>
      <c r="F39" s="47"/>
      <c r="G39" s="47"/>
      <c r="H39" s="47"/>
      <c r="I39" s="47"/>
      <c r="J39" s="47"/>
      <c r="K39" s="47">
        <f>G39-D39</f>
        <v>0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2:21" x14ac:dyDescent="0.3">
      <c r="B40" s="7" t="s">
        <v>63</v>
      </c>
      <c r="C40" s="7" t="s">
        <v>65</v>
      </c>
      <c r="D40" s="47"/>
      <c r="E40" s="47"/>
      <c r="F40" s="47"/>
      <c r="G40" s="47"/>
      <c r="H40" s="47"/>
      <c r="I40" s="47"/>
      <c r="J40" s="47"/>
      <c r="K40" s="47">
        <f>G40-D40</f>
        <v>0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2" spans="2:21" x14ac:dyDescent="0.3">
      <c r="B42" t="s">
        <v>66</v>
      </c>
    </row>
    <row r="43" spans="2:21" x14ac:dyDescent="0.3">
      <c r="B43" s="7" t="s">
        <v>7</v>
      </c>
      <c r="C43" s="7" t="s">
        <v>58</v>
      </c>
      <c r="D43" s="44" t="s">
        <v>61</v>
      </c>
      <c r="E43" s="44"/>
      <c r="F43" s="44"/>
      <c r="G43" s="44" t="s">
        <v>67</v>
      </c>
      <c r="H43" s="44"/>
      <c r="I43" s="44"/>
      <c r="J43" s="44"/>
      <c r="K43" s="48" t="s">
        <v>68</v>
      </c>
      <c r="L43" s="49"/>
      <c r="M43" s="49"/>
      <c r="N43" s="49"/>
      <c r="O43" s="49"/>
      <c r="P43" s="49"/>
      <c r="Q43" s="49"/>
      <c r="R43" s="49"/>
      <c r="S43" s="49"/>
      <c r="T43" s="49"/>
      <c r="U43" s="50"/>
    </row>
    <row r="44" spans="2:21" x14ac:dyDescent="0.3">
      <c r="B44" s="7" t="s">
        <v>62</v>
      </c>
      <c r="C44" s="7" t="s">
        <v>69</v>
      </c>
      <c r="D44" s="47"/>
      <c r="E44" s="47"/>
      <c r="F44" s="47"/>
      <c r="G44" s="47"/>
      <c r="H44" s="47"/>
      <c r="I44" s="47"/>
      <c r="J44" s="47"/>
      <c r="K44" s="51"/>
      <c r="L44" s="52"/>
      <c r="M44" s="52"/>
      <c r="N44" s="52"/>
      <c r="O44" s="52"/>
      <c r="P44" s="52"/>
      <c r="Q44" s="52"/>
      <c r="R44" s="52"/>
      <c r="S44" s="52"/>
      <c r="T44" s="52"/>
      <c r="U44" s="53"/>
    </row>
    <row r="46" spans="2:21" x14ac:dyDescent="0.3">
      <c r="B46" t="s">
        <v>70</v>
      </c>
    </row>
    <row r="47" spans="2:21" x14ac:dyDescent="0.3">
      <c r="B47" s="7" t="s">
        <v>71</v>
      </c>
      <c r="C47" s="44" t="s">
        <v>72</v>
      </c>
      <c r="D47" s="44"/>
      <c r="E47" s="44" t="s">
        <v>73</v>
      </c>
      <c r="F47" s="44"/>
      <c r="G47" s="44"/>
      <c r="H47" s="44"/>
      <c r="I47" s="44" t="s">
        <v>74</v>
      </c>
      <c r="J47" s="44"/>
      <c r="K47" s="44"/>
      <c r="L47" s="44" t="s">
        <v>75</v>
      </c>
      <c r="M47" s="44"/>
      <c r="N47" s="44"/>
      <c r="O47" s="44"/>
      <c r="P47" s="44" t="s">
        <v>78</v>
      </c>
      <c r="Q47" s="44"/>
      <c r="R47" s="44"/>
      <c r="S47" s="44" t="s">
        <v>77</v>
      </c>
      <c r="T47" s="44"/>
      <c r="U47" s="8" t="s">
        <v>76</v>
      </c>
    </row>
    <row r="48" spans="2:21" x14ac:dyDescent="0.3">
      <c r="B48" s="9">
        <f>S3-1</f>
        <v>46007</v>
      </c>
      <c r="C48" s="47"/>
      <c r="D48" s="47"/>
      <c r="E48" s="47"/>
      <c r="F48" s="47"/>
      <c r="G48" s="47"/>
      <c r="H48" s="47"/>
      <c r="I48" s="47">
        <f>SUM(C48:H48)</f>
        <v>0</v>
      </c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12"/>
    </row>
    <row r="50" spans="2:21" x14ac:dyDescent="0.3">
      <c r="B50" t="s">
        <v>79</v>
      </c>
    </row>
    <row r="51" spans="2:21" x14ac:dyDescent="0.3">
      <c r="B51" s="44" t="s">
        <v>80</v>
      </c>
      <c r="C51" s="44"/>
      <c r="D51" s="44"/>
      <c r="E51" s="47"/>
      <c r="F51" s="47"/>
      <c r="G51" s="47"/>
      <c r="H51" s="47"/>
      <c r="I51" s="47"/>
      <c r="J51" s="47"/>
      <c r="K51" s="47"/>
      <c r="L51" s="44" t="s">
        <v>81</v>
      </c>
      <c r="M51" s="44"/>
      <c r="N51" s="44"/>
      <c r="O51" s="44"/>
      <c r="P51" s="44"/>
      <c r="Q51" s="44"/>
      <c r="R51" s="44"/>
      <c r="S51" s="54"/>
      <c r="T51" s="54"/>
      <c r="U51" s="54"/>
    </row>
    <row r="53" spans="2:21" x14ac:dyDescent="0.3">
      <c r="B53" t="s">
        <v>82</v>
      </c>
    </row>
    <row r="54" spans="2:21" x14ac:dyDescent="0.3">
      <c r="B54" s="44" t="s">
        <v>86</v>
      </c>
      <c r="C54" s="44" t="s">
        <v>83</v>
      </c>
      <c r="D54" s="44"/>
      <c r="E54" s="44"/>
      <c r="F54" s="44"/>
      <c r="G54" s="44" t="s">
        <v>85</v>
      </c>
      <c r="H54" s="44"/>
      <c r="I54" s="44"/>
      <c r="J54" s="44"/>
      <c r="K54" s="44" t="s">
        <v>84</v>
      </c>
      <c r="L54" s="44"/>
      <c r="M54" s="44"/>
      <c r="N54" s="44"/>
      <c r="O54" s="44" t="s">
        <v>68</v>
      </c>
      <c r="P54" s="44"/>
      <c r="Q54" s="44"/>
      <c r="R54" s="44"/>
      <c r="S54" s="44"/>
      <c r="T54" s="44"/>
      <c r="U54" s="44"/>
    </row>
    <row r="55" spans="2:21" x14ac:dyDescent="0.3">
      <c r="B55" s="44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</row>
    <row r="57" spans="2:21" x14ac:dyDescent="0.3">
      <c r="B57" s="44" t="s">
        <v>87</v>
      </c>
      <c r="C57" s="44" t="s">
        <v>88</v>
      </c>
      <c r="D57" s="44"/>
      <c r="E57" s="44"/>
      <c r="F57" s="44"/>
      <c r="G57" s="44" t="s">
        <v>89</v>
      </c>
      <c r="H57" s="44"/>
      <c r="I57" s="44"/>
      <c r="J57" s="44"/>
      <c r="K57" s="44" t="s">
        <v>90</v>
      </c>
      <c r="L57" s="44"/>
      <c r="M57" s="44"/>
      <c r="N57" s="44"/>
      <c r="O57" s="44" t="s">
        <v>68</v>
      </c>
      <c r="P57" s="44"/>
      <c r="Q57" s="44"/>
      <c r="R57" s="44"/>
      <c r="S57" s="44"/>
      <c r="T57" s="44"/>
      <c r="U57" s="44"/>
    </row>
    <row r="58" spans="2:21" x14ac:dyDescent="0.3">
      <c r="B58" s="44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</row>
    <row r="60" spans="2:21" x14ac:dyDescent="0.3">
      <c r="B60" t="s">
        <v>91</v>
      </c>
    </row>
    <row r="61" spans="2:21" x14ac:dyDescent="0.3">
      <c r="B61" s="13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5"/>
    </row>
    <row r="62" spans="2:21" x14ac:dyDescent="0.3"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8"/>
    </row>
    <row r="63" spans="2:21" x14ac:dyDescent="0.3"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8"/>
    </row>
    <row r="64" spans="2:21" x14ac:dyDescent="0.3"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8"/>
    </row>
    <row r="65" spans="2:21" x14ac:dyDescent="0.3"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8"/>
    </row>
    <row r="66" spans="2:21" x14ac:dyDescent="0.3"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8"/>
    </row>
    <row r="67" spans="2:21" x14ac:dyDescent="0.3"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8"/>
    </row>
    <row r="68" spans="2:21" x14ac:dyDescent="0.3"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8"/>
    </row>
    <row r="69" spans="2:21" x14ac:dyDescent="0.3"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8"/>
    </row>
    <row r="70" spans="2:21" x14ac:dyDescent="0.3"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1"/>
    </row>
    <row r="72" spans="2:21" x14ac:dyDescent="0.3">
      <c r="B72" t="s">
        <v>92</v>
      </c>
    </row>
    <row r="73" spans="2:21" x14ac:dyDescent="0.3">
      <c r="B73" s="13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5"/>
    </row>
    <row r="74" spans="2:21" x14ac:dyDescent="0.3"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1"/>
    </row>
    <row r="76" spans="2:21" x14ac:dyDescent="0.3">
      <c r="B76" t="s">
        <v>93</v>
      </c>
    </row>
    <row r="77" spans="2:21" x14ac:dyDescent="0.3"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5"/>
    </row>
    <row r="78" spans="2:21" x14ac:dyDescent="0.3"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1"/>
    </row>
    <row r="80" spans="2:21" x14ac:dyDescent="0.3">
      <c r="B80" t="s">
        <v>94</v>
      </c>
    </row>
    <row r="81" spans="2:21" x14ac:dyDescent="0.3">
      <c r="B81" s="13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5"/>
    </row>
    <row r="82" spans="2:21" x14ac:dyDescent="0.3">
      <c r="B82" s="19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1"/>
    </row>
  </sheetData>
  <mergeCells count="183">
    <mergeCell ref="B57:B58"/>
    <mergeCell ref="C57:F57"/>
    <mergeCell ref="G57:J57"/>
    <mergeCell ref="K57:N57"/>
    <mergeCell ref="O57:U57"/>
    <mergeCell ref="C58:F58"/>
    <mergeCell ref="G58:J58"/>
    <mergeCell ref="K58:N58"/>
    <mergeCell ref="O58:U58"/>
    <mergeCell ref="B51:D51"/>
    <mergeCell ref="E51:K51"/>
    <mergeCell ref="L51:R51"/>
    <mergeCell ref="S51:U51"/>
    <mergeCell ref="B54:B55"/>
    <mergeCell ref="C54:F54"/>
    <mergeCell ref="G54:J54"/>
    <mergeCell ref="K54:N54"/>
    <mergeCell ref="O54:U54"/>
    <mergeCell ref="C55:F55"/>
    <mergeCell ref="G55:J55"/>
    <mergeCell ref="K55:N55"/>
    <mergeCell ref="O55:U55"/>
    <mergeCell ref="C47:D47"/>
    <mergeCell ref="E47:H47"/>
    <mergeCell ref="I47:K47"/>
    <mergeCell ref="L47:O47"/>
    <mergeCell ref="P47:R47"/>
    <mergeCell ref="S47:T47"/>
    <mergeCell ref="C48:D48"/>
    <mergeCell ref="E48:H48"/>
    <mergeCell ref="I48:K48"/>
    <mergeCell ref="L48:O48"/>
    <mergeCell ref="P48:R48"/>
    <mergeCell ref="S48:T48"/>
    <mergeCell ref="D38:F38"/>
    <mergeCell ref="G38:J38"/>
    <mergeCell ref="K38:N38"/>
    <mergeCell ref="O38:U38"/>
    <mergeCell ref="U32:U33"/>
    <mergeCell ref="D44:F44"/>
    <mergeCell ref="G44:J44"/>
    <mergeCell ref="K43:U43"/>
    <mergeCell ref="K44:U44"/>
    <mergeCell ref="D39:F39"/>
    <mergeCell ref="G39:J39"/>
    <mergeCell ref="K39:N39"/>
    <mergeCell ref="O39:U39"/>
    <mergeCell ref="D40:F40"/>
    <mergeCell ref="G40:J40"/>
    <mergeCell ref="K40:N40"/>
    <mergeCell ref="O40:U40"/>
    <mergeCell ref="D43:F43"/>
    <mergeCell ref="G43:J43"/>
    <mergeCell ref="B6:C6"/>
    <mergeCell ref="E6:F6"/>
    <mergeCell ref="G6:H6"/>
    <mergeCell ref="I6:J6"/>
    <mergeCell ref="K6:U6"/>
    <mergeCell ref="B7:C7"/>
    <mergeCell ref="E7:F7"/>
    <mergeCell ref="G7:H7"/>
    <mergeCell ref="I30:K30"/>
    <mergeCell ref="M30:O30"/>
    <mergeCell ref="B27:C27"/>
    <mergeCell ref="E27:F27"/>
    <mergeCell ref="G27:H27"/>
    <mergeCell ref="I27:J27"/>
    <mergeCell ref="K27:R27"/>
    <mergeCell ref="S27:U27"/>
    <mergeCell ref="K4:U4"/>
    <mergeCell ref="B5:C5"/>
    <mergeCell ref="I4:J4"/>
    <mergeCell ref="G4:H4"/>
    <mergeCell ref="E4:F4"/>
    <mergeCell ref="B4:C4"/>
    <mergeCell ref="E5:F5"/>
    <mergeCell ref="G5:H5"/>
    <mergeCell ref="I5:J5"/>
    <mergeCell ref="K5:U5"/>
    <mergeCell ref="B13:C13"/>
    <mergeCell ref="E13:F13"/>
    <mergeCell ref="G13:H13"/>
    <mergeCell ref="I13:J13"/>
    <mergeCell ref="K13:R13"/>
    <mergeCell ref="S13:U13"/>
    <mergeCell ref="B12:C12"/>
    <mergeCell ref="E12:F12"/>
    <mergeCell ref="G12:H12"/>
    <mergeCell ref="I12:J12"/>
    <mergeCell ref="K12:R12"/>
    <mergeCell ref="S12:U12"/>
    <mergeCell ref="B15:C15"/>
    <mergeCell ref="E15:F15"/>
    <mergeCell ref="G15:H15"/>
    <mergeCell ref="I15:J15"/>
    <mergeCell ref="K15:R15"/>
    <mergeCell ref="S15:U15"/>
    <mergeCell ref="B14:C14"/>
    <mergeCell ref="E14:F14"/>
    <mergeCell ref="G14:H14"/>
    <mergeCell ref="I14:J14"/>
    <mergeCell ref="K14:R14"/>
    <mergeCell ref="S14:U14"/>
    <mergeCell ref="I7:J7"/>
    <mergeCell ref="K7:U7"/>
    <mergeCell ref="B8:C8"/>
    <mergeCell ref="E8:F8"/>
    <mergeCell ref="G8:H8"/>
    <mergeCell ref="I8:J8"/>
    <mergeCell ref="K8:U8"/>
    <mergeCell ref="S19:U19"/>
    <mergeCell ref="B20:C20"/>
    <mergeCell ref="E20:F20"/>
    <mergeCell ref="G20:H20"/>
    <mergeCell ref="I20:J20"/>
    <mergeCell ref="K20:R20"/>
    <mergeCell ref="S20:U20"/>
    <mergeCell ref="B9:J9"/>
    <mergeCell ref="B10:C10"/>
    <mergeCell ref="E10:J10"/>
    <mergeCell ref="K9:U9"/>
    <mergeCell ref="K10:U10"/>
    <mergeCell ref="B19:C19"/>
    <mergeCell ref="E19:F19"/>
    <mergeCell ref="G19:H19"/>
    <mergeCell ref="I19:J19"/>
    <mergeCell ref="K19:R19"/>
    <mergeCell ref="B16:C16"/>
    <mergeCell ref="B22:C22"/>
    <mergeCell ref="E22:F22"/>
    <mergeCell ref="G22:H22"/>
    <mergeCell ref="I22:J22"/>
    <mergeCell ref="K22:R22"/>
    <mergeCell ref="S22:U22"/>
    <mergeCell ref="B21:C21"/>
    <mergeCell ref="E21:F21"/>
    <mergeCell ref="G21:H21"/>
    <mergeCell ref="I21:J21"/>
    <mergeCell ref="K21:R21"/>
    <mergeCell ref="S21:U21"/>
    <mergeCell ref="E16:F16"/>
    <mergeCell ref="G16:H16"/>
    <mergeCell ref="I16:J16"/>
    <mergeCell ref="K16:R16"/>
    <mergeCell ref="S16:U16"/>
    <mergeCell ref="K24:R24"/>
    <mergeCell ref="S24:U24"/>
    <mergeCell ref="B23:C23"/>
    <mergeCell ref="E23:F23"/>
    <mergeCell ref="G23:H23"/>
    <mergeCell ref="I23:J23"/>
    <mergeCell ref="K23:R23"/>
    <mergeCell ref="S23:U23"/>
    <mergeCell ref="B17:C17"/>
    <mergeCell ref="E17:F17"/>
    <mergeCell ref="G17:H17"/>
    <mergeCell ref="I17:J17"/>
    <mergeCell ref="K17:R17"/>
    <mergeCell ref="S17:U17"/>
    <mergeCell ref="S3:U3"/>
    <mergeCell ref="B1:U2"/>
    <mergeCell ref="D32:D33"/>
    <mergeCell ref="C32:C33"/>
    <mergeCell ref="B32:B33"/>
    <mergeCell ref="R32:R33"/>
    <mergeCell ref="S32:S33"/>
    <mergeCell ref="T32:T33"/>
    <mergeCell ref="B28:C28"/>
    <mergeCell ref="E28:F28"/>
    <mergeCell ref="G28:H28"/>
    <mergeCell ref="I28:J28"/>
    <mergeCell ref="K28:R28"/>
    <mergeCell ref="S28:U28"/>
    <mergeCell ref="B25:C25"/>
    <mergeCell ref="E25:F25"/>
    <mergeCell ref="G25:H25"/>
    <mergeCell ref="I25:J25"/>
    <mergeCell ref="K25:R25"/>
    <mergeCell ref="S25:U25"/>
    <mergeCell ref="B24:C24"/>
    <mergeCell ref="E24:F24"/>
    <mergeCell ref="G24:H24"/>
    <mergeCell ref="I24:J24"/>
  </mergeCells>
  <phoneticPr fontId="2" type="noConversion"/>
  <conditionalFormatting sqref="E34:Q35">
    <cfRule type="expression" dxfId="1" priority="1">
      <formula>E$33="일"</formula>
    </cfRule>
    <cfRule type="expression" dxfId="0" priority="2">
      <formula>E$33="토"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9475-B00E-4E29-ABE7-9732EDB79B41}">
  <dimension ref="A1:B42"/>
  <sheetViews>
    <sheetView workbookViewId="0">
      <selection activeCell="F12" sqref="F12"/>
    </sheetView>
  </sheetViews>
  <sheetFormatPr defaultRowHeight="16.5" x14ac:dyDescent="0.3"/>
  <cols>
    <col min="1" max="1" width="11.125" bestFit="1" customWidth="1"/>
  </cols>
  <sheetData>
    <row r="1" spans="1:2" x14ac:dyDescent="0.3">
      <c r="A1" t="s">
        <v>38</v>
      </c>
      <c r="B1">
        <v>2025</v>
      </c>
    </row>
    <row r="3" spans="1:2" x14ac:dyDescent="0.3">
      <c r="A3" s="3">
        <v>45658</v>
      </c>
      <c r="B3" s="4" t="s">
        <v>39</v>
      </c>
    </row>
    <row r="4" spans="1:2" x14ac:dyDescent="0.3">
      <c r="A4" s="3">
        <v>45684</v>
      </c>
      <c r="B4" s="4" t="s">
        <v>40</v>
      </c>
    </row>
    <row r="5" spans="1:2" x14ac:dyDescent="0.3">
      <c r="A5" s="3">
        <v>45685</v>
      </c>
      <c r="B5" s="4" t="s">
        <v>41</v>
      </c>
    </row>
    <row r="6" spans="1:2" x14ac:dyDescent="0.3">
      <c r="A6" s="3">
        <v>45686</v>
      </c>
      <c r="B6" s="4" t="s">
        <v>41</v>
      </c>
    </row>
    <row r="7" spans="1:2" x14ac:dyDescent="0.3">
      <c r="A7" s="3">
        <v>45687</v>
      </c>
      <c r="B7" s="4" t="s">
        <v>41</v>
      </c>
    </row>
    <row r="8" spans="1:2" x14ac:dyDescent="0.3">
      <c r="A8" s="3">
        <v>45717</v>
      </c>
      <c r="B8" s="4" t="s">
        <v>42</v>
      </c>
    </row>
    <row r="9" spans="1:2" x14ac:dyDescent="0.3">
      <c r="A9" s="3">
        <v>45719</v>
      </c>
      <c r="B9" t="s">
        <v>40</v>
      </c>
    </row>
    <row r="10" spans="1:2" x14ac:dyDescent="0.3">
      <c r="A10" s="3">
        <v>45782</v>
      </c>
      <c r="B10" s="4" t="s">
        <v>43</v>
      </c>
    </row>
    <row r="11" spans="1:2" x14ac:dyDescent="0.3">
      <c r="A11" s="3">
        <v>45783</v>
      </c>
      <c r="B11" t="s">
        <v>40</v>
      </c>
    </row>
    <row r="12" spans="1:2" x14ac:dyDescent="0.3">
      <c r="A12" s="3">
        <v>45811</v>
      </c>
      <c r="B12" t="s">
        <v>44</v>
      </c>
    </row>
    <row r="13" spans="1:2" x14ac:dyDescent="0.3">
      <c r="A13" s="3">
        <v>45814</v>
      </c>
      <c r="B13" s="4" t="s">
        <v>45</v>
      </c>
    </row>
    <row r="14" spans="1:2" x14ac:dyDescent="0.3">
      <c r="A14" s="3">
        <v>45874</v>
      </c>
      <c r="B14" s="4" t="s">
        <v>46</v>
      </c>
    </row>
    <row r="15" spans="1:2" x14ac:dyDescent="0.3">
      <c r="A15" s="3">
        <v>45933</v>
      </c>
      <c r="B15" s="4" t="s">
        <v>47</v>
      </c>
    </row>
    <row r="16" spans="1:2" x14ac:dyDescent="0.3">
      <c r="A16" s="3">
        <v>45935</v>
      </c>
      <c r="B16" s="4" t="s">
        <v>48</v>
      </c>
    </row>
    <row r="17" spans="1:2" x14ac:dyDescent="0.3">
      <c r="A17" s="3">
        <v>45936</v>
      </c>
      <c r="B17" s="4" t="s">
        <v>48</v>
      </c>
    </row>
    <row r="18" spans="1:2" x14ac:dyDescent="0.3">
      <c r="A18" s="3">
        <v>45937</v>
      </c>
      <c r="B18" s="4" t="s">
        <v>48</v>
      </c>
    </row>
    <row r="19" spans="1:2" x14ac:dyDescent="0.3">
      <c r="A19" s="3">
        <v>45938</v>
      </c>
      <c r="B19" t="s">
        <v>40</v>
      </c>
    </row>
    <row r="20" spans="1:2" x14ac:dyDescent="0.3">
      <c r="A20" s="3">
        <v>45939</v>
      </c>
      <c r="B20" s="4" t="s">
        <v>49</v>
      </c>
    </row>
    <row r="21" spans="1:2" x14ac:dyDescent="0.3">
      <c r="A21" s="3">
        <v>46016</v>
      </c>
      <c r="B21" s="4" t="s">
        <v>50</v>
      </c>
    </row>
    <row r="22" spans="1:2" x14ac:dyDescent="0.3">
      <c r="A22" s="5">
        <v>46023</v>
      </c>
      <c r="B22" s="4" t="s">
        <v>39</v>
      </c>
    </row>
    <row r="23" spans="1:2" x14ac:dyDescent="0.3">
      <c r="A23" s="5">
        <v>46069</v>
      </c>
      <c r="B23" s="4" t="s">
        <v>41</v>
      </c>
    </row>
    <row r="24" spans="1:2" x14ac:dyDescent="0.3">
      <c r="A24" s="5">
        <v>46070</v>
      </c>
      <c r="B24" s="4" t="s">
        <v>41</v>
      </c>
    </row>
    <row r="25" spans="1:2" x14ac:dyDescent="0.3">
      <c r="A25" s="5">
        <v>46071</v>
      </c>
      <c r="B25" s="4" t="s">
        <v>41</v>
      </c>
    </row>
    <row r="26" spans="1:2" x14ac:dyDescent="0.3">
      <c r="A26" s="5">
        <v>46082</v>
      </c>
      <c r="B26" s="4" t="s">
        <v>51</v>
      </c>
    </row>
    <row r="27" spans="1:2" x14ac:dyDescent="0.3">
      <c r="A27" s="5">
        <v>46083</v>
      </c>
      <c r="B27" s="4" t="s">
        <v>52</v>
      </c>
    </row>
    <row r="28" spans="1:2" x14ac:dyDescent="0.3">
      <c r="A28" s="5">
        <v>46143</v>
      </c>
      <c r="B28" s="4" t="s">
        <v>53</v>
      </c>
    </row>
    <row r="29" spans="1:2" x14ac:dyDescent="0.3">
      <c r="A29" s="5">
        <v>46147</v>
      </c>
      <c r="B29" s="4" t="s">
        <v>54</v>
      </c>
    </row>
    <row r="30" spans="1:2" x14ac:dyDescent="0.3">
      <c r="A30" s="5">
        <v>46166</v>
      </c>
      <c r="B30" s="4" t="s">
        <v>55</v>
      </c>
    </row>
    <row r="31" spans="1:2" x14ac:dyDescent="0.3">
      <c r="A31" s="5">
        <v>46167</v>
      </c>
      <c r="B31" s="4" t="s">
        <v>52</v>
      </c>
    </row>
    <row r="32" spans="1:2" x14ac:dyDescent="0.3">
      <c r="A32" s="5">
        <v>46176</v>
      </c>
      <c r="B32" s="4" t="s">
        <v>56</v>
      </c>
    </row>
    <row r="33" spans="1:2" x14ac:dyDescent="0.3">
      <c r="A33" s="5">
        <v>46179</v>
      </c>
      <c r="B33" s="4" t="s">
        <v>45</v>
      </c>
    </row>
    <row r="34" spans="1:2" x14ac:dyDescent="0.3">
      <c r="A34" s="5">
        <v>46249</v>
      </c>
      <c r="B34" s="4" t="s">
        <v>46</v>
      </c>
    </row>
    <row r="35" spans="1:2" x14ac:dyDescent="0.3">
      <c r="A35" s="5">
        <v>46251</v>
      </c>
      <c r="B35" s="4" t="s">
        <v>52</v>
      </c>
    </row>
    <row r="36" spans="1:2" x14ac:dyDescent="0.3">
      <c r="A36" s="5">
        <v>46289</v>
      </c>
      <c r="B36" s="4" t="s">
        <v>48</v>
      </c>
    </row>
    <row r="37" spans="1:2" x14ac:dyDescent="0.3">
      <c r="A37" s="5">
        <v>46290</v>
      </c>
      <c r="B37" s="4" t="s">
        <v>48</v>
      </c>
    </row>
    <row r="38" spans="1:2" x14ac:dyDescent="0.3">
      <c r="A38" s="5">
        <v>46291</v>
      </c>
      <c r="B38" s="4" t="s">
        <v>48</v>
      </c>
    </row>
    <row r="39" spans="1:2" x14ac:dyDescent="0.3">
      <c r="A39" s="5">
        <v>46298</v>
      </c>
      <c r="B39" s="4" t="s">
        <v>47</v>
      </c>
    </row>
    <row r="40" spans="1:2" x14ac:dyDescent="0.3">
      <c r="A40" s="5">
        <v>46300</v>
      </c>
      <c r="B40" s="4" t="s">
        <v>52</v>
      </c>
    </row>
    <row r="41" spans="1:2" x14ac:dyDescent="0.3">
      <c r="A41" s="5">
        <v>46304</v>
      </c>
      <c r="B41" s="4" t="s">
        <v>49</v>
      </c>
    </row>
    <row r="42" spans="1:2" x14ac:dyDescent="0.3">
      <c r="A42" s="5">
        <v>46381</v>
      </c>
      <c r="B42" s="4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12월18일</vt:lpstr>
      <vt:lpstr>공휴일</vt:lpstr>
      <vt:lpstr>공휴일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박정호 이사</dc:creator>
  <cp:lastModifiedBy>박정호 이사</cp:lastModifiedBy>
  <dcterms:created xsi:type="dcterms:W3CDTF">2025-12-17T05:29:23Z</dcterms:created>
  <dcterms:modified xsi:type="dcterms:W3CDTF">2026-01-06T07:32:55Z</dcterms:modified>
</cp:coreProperties>
</file>