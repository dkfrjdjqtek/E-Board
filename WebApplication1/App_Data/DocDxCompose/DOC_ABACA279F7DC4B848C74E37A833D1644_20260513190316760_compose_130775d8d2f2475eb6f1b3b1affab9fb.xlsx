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박정호이사\Downloads\"/>
    </mc:Choice>
  </mc:AlternateContent>
  <xr:revisionPtr revIDLastSave="0" documentId="8_{ABF2F2BE-1238-4DE3-B2C3-0638E5B714EB}" xr6:coauthVersionLast="47" xr6:coauthVersionMax="47" xr10:uidLastSave="{00000000-0000-0000-0000-000000000000}"/>
  <x:bookViews>
    <x:workbookView xWindow="28785" yWindow="360" windowWidth="28455" windowHeight="15060" firstSheet="0" activeTab="0" xr2:uid="{95DB9DE6-CDA7-47E3-A30A-91DEE3EF7450}"/>
  </x:bookViews>
  <x:sheets>
    <x:sheet name="12월18일" sheetId="1" r:id="rId1"/>
    <x:sheet name="공휴일" sheetId="2" state="hidden" r:id="rId2"/>
  </x:sheets>
  <x:definedNames>
    <x:definedName name="공휴일">공휴일!$A$3:$B$200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D5" i="1"/>
  <x:c r="E5" i="1"/>
  <x:c r="G5" i="1"/>
  <x:c r="I5" i="1"/>
  <x:c r="D6" i="1"/>
  <x:c r="E6" i="1"/>
  <x:c r="G6" i="1"/>
  <x:c r="I6" i="1"/>
  <x:c r="D7" i="1"/>
  <x:c r="E7" i="1"/>
  <x:c r="G7" i="1"/>
  <x:c r="I7" i="1"/>
  <x:c r="D8" i="1"/>
  <x:c r="E8" i="1"/>
  <x:c r="G8" i="1"/>
  <x:c r="I8" i="1"/>
  <x:c r="E13" i="1"/>
  <x:c r="E14" i="1"/>
  <x:c r="E15" i="1"/>
  <x:c r="E16" i="1"/>
  <x:c r="E17" i="1"/>
  <x:c r="E20" i="1"/>
  <x:c r="E21" i="1"/>
  <x:c r="E22" i="1"/>
  <x:c r="E23" i="1"/>
  <x:c r="E24" i="1"/>
  <x:c r="E25" i="1"/>
  <x:c r="E28" i="1"/>
  <x:c r="M30" i="1"/>
  <x:c r="E31" i="1"/>
  <x:c r="F31" i="1"/>
  <x:c r="G31" i="1"/>
  <x:c r="H31" i="1"/>
  <x:c r="I31" i="1"/>
  <x:c r="J31" i="1"/>
  <x:c r="K31" i="1"/>
  <x:c r="L31" i="1"/>
  <x:c r="M31" i="1"/>
  <x:c r="N31" i="1"/>
  <x:c r="O31" i="1"/>
  <x:c r="P31" i="1"/>
  <x:c r="Q31" i="1"/>
  <x:c r="E32" i="1"/>
  <x:c r="F32" i="1"/>
  <x:c r="G32" i="1"/>
  <x:c r="H32" i="1"/>
  <x:c r="I32" i="1"/>
  <x:c r="J32" i="1"/>
  <x:c r="K32" i="1"/>
  <x:c r="L32" i="1"/>
  <x:c r="M32" i="1"/>
  <x:c r="N32" i="1"/>
  <x:c r="O32" i="1"/>
  <x:c r="P32" i="1"/>
  <x:c r="Q32" i="1"/>
  <x:c r="E33" i="1"/>
  <x:c r="F33" i="1"/>
  <x:c r="G33" i="1"/>
  <x:c r="H33" i="1"/>
  <x:c r="I33" i="1"/>
  <x:c r="J33" i="1"/>
  <x:c r="K33" i="1"/>
  <x:c r="L33" i="1"/>
  <x:c r="M33" i="1"/>
  <x:c r="N33" i="1"/>
  <x:c r="O33" i="1"/>
  <x:c r="P33" i="1"/>
  <x:c r="Q33" i="1"/>
  <x:c r="K39" i="1"/>
  <x:c r="K40" i="1"/>
  <x:c r="B48" i="1"/>
  <x:c r="I48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<x:sst xmlns:x="http://schemas.openxmlformats.org/spreadsheetml/2006/main">
  <x:si>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해외출장자 출근현황 (출근 O, 휴가 X, 반차 △)</x:t>
    </x:r>
    <x:phoneticPr fontId="0" type="noConversion"/>
  </x:si>
  <x:si>
    <x:r>
      <x:rPr>
        <x:b/>
        <x:vertAlign val="baseline"/>
        <x:sz val="16"/>
        <x:color theme="1"/>
        <x:rFont val="맑은 고딕"/>
        <x:family val="3"/>
        <x:charset val="129"/>
        <x:scheme val="minor"/>
      </x:rPr>
      <x:t>총 무 일 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</x:si>
  <x:si>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인원현황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</x:si>
  <x:si>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구분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</x:si>
  <x:si>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총원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</x:si>
  <x:si>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출근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</x:si>
  <x:si>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출장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</x:si>
  <x:si>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기타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</x:si>
  <x:si>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비고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</x:si>
  <x:si>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생산직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</x:si>
  <x:si>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사무직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</x:si>
  <x:si>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연구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</x:si>
  <x:si>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</x:si>
  <x:si>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경비(주야근무)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</x:si>
  <x:si>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생산부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</x:si>
  <x:si>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출근자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</x:si>
  <x:si>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연차 및 기타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</x:si>
  <x:si>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생산1부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</x:si>
  <x:si>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생산2부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</x:si>
  <x:si>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검단/공무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</x:si>
  <x:si>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영업부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</x:si>
  <x:si>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해외출장자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</x:si>
  <x:si>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사무실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</x:si>
  <x:si>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임원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</x:si>
  <x:si>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기획실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</x:si>
  <x:si>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관리회계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</x:si>
  <x:si>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관리총무/IT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</x:si>
  <x:si>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해외영업부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</x:si>
  <x:si>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영업관리부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</x:si>
  <x:si>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연구실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</x:si>
  <x:si>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-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</x:si>
  <x:si>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성명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</x:si>
  <x:si>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입국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</x:si>
  <x:si>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출국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</x:si>
  <x:si>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출근시간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</x:si>
  <x:si>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총연차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</x:si>
  <x:si>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근무일수</x:t>
    </x:r>
    <x:phoneticPr fontId="0" type="noConversion"/>
  </x:si>
  <x:si>
    <x:r>
      <x:rPr>
        <x:vertAlign val="baseline"/>
        <x:sz val="8"/>
        <x:color theme="1"/>
        <x:rFont val="맑은 고딕"/>
        <x:family val="2"/>
        <x:charset val="129"/>
        <x:scheme val="minor"/>
      </x:rPr>
      <x:t>남은연차일수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</x:si>
  <x:si>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단위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</x:si>
  <x:si>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검침사항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</x:si>
  <x:si>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월 사용량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</x:si>
  <x:si>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전일검침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</x:si>
  <x:si>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당일검침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</x:si>
  <x:si>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전일사용량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</x:si>
  <x:si>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비   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</x:si>
  <x:si>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가스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</x:si>
  <x:si>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㎥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</x:si>
  <x:si>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수도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</x:si>
  <x:si>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Ton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</x:si>
  <x:si>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전기 사용량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</x:si>
  <x:si>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압력용기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</x:si>
  <x:si>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Kw/H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</x:si>
  <x:si>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태양광 설비발전사항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</x:si>
  <x:si>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날짜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</x:si>
  <x:si>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건물(113kW)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</x:si>
  <x:si>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자가(349.8kW)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</x:si>
  <x:si>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합계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</x:si>
  <x:si>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월 발전량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</x:si>
  <x:si>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판매사업(275kW)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</x:si>
  <x:si>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월 누적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</x:si>
  <x:si>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전체 누적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</x:si>
  <x:si>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REC 현황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</x:si>
  <x:si>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현재 REC 개수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</x:si>
  <x:si>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금일 REC 평균 가격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</x:si>
  <x:si>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점검사항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</x:si>
  <x:si>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콤프레샤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</x:si>
  <x:si>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가동 기계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</x:si>
  <x:si>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온도(℃)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</x:si>
  <x:si>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시간(h)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</x:si>
  <x:si>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업무사항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</x:si>
  <x:si>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안전밸브 작동 유무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</x:si>
  <x:si>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배관.누수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</x:si>
  <x:si>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응축수 배출상태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</x:si>
  <x:si>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부처님오신날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</x:si>
  <x:si>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특이사항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</x:si>
  <x:si>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익일업무 계획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</x:si>
  <x:si>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주간업무 계획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</x:si>
  <x:si>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연도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</x:si>
  <x:si>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신정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</x:si>
  <x:si>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대체휴일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</x:si>
  <x:si>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설날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</x:si>
  <x:si>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삼일절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</x:si>
  <x:si>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대통령 선거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</x:si>
  <x:si>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한글날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</x:si>
  <x:si>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현충일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</x:si>
  <x:si>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광복절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</x:si>
  <x:si>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개천절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</x:si>
  <x:si>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추석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</x:si>
  <x:si>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대체공휴일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</x:si>
  <x:si>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성탄절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</x:si>
  <x:si>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지방선거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</x:si>
  <x:si>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근로자의날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</x:si>
  <x:si>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어린이날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</x:si>
  <x:si>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석가탄신일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</x:si>
</x:sst>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[$-412]mm\/dd&quot;(&quot;ddd&quot;)&quot;;@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color theme="1"/>
      <x:name val="맑은 고딕"/>
      <x:family val="2"/>
      <x:charset val="129"/>
      <x:scheme val="minor"/>
    </x:font>
    <x:font>
      <x:b/>
      <x:sz val="16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7" tint="-0.499984740745262"/>
      <x:name val="맑은 고딕"/>
      <x:family val="2"/>
      <x:charset val="129"/>
      <x:scheme val="minor"/>
    </x:font>
    <x:font>
      <x:sz val="11"/>
      <x:color rgb="FF0070C0"/>
      <x:name val="맑은 고딕"/>
      <x:family val="2"/>
      <x:charset val="129"/>
      <x:scheme val="minor"/>
    </x:font>
    <x:font>
      <x:sz val="10"/>
      <x:color rgb="FF0070C0"/>
      <x:name val="맑은 고딕"/>
      <x:family val="2"/>
      <x:charset val="129"/>
      <x:scheme val="minor"/>
    </x:font>
    <x:font>
      <x:sz val="10"/>
      <x:color rgb="FF0070C0"/>
      <x:name val="맑은 고딕"/>
      <x:family val="3"/>
      <x:charset val="129"/>
      <x:scheme val="minor"/>
    </x:font>
    <x:font>
      <x:sz val="9"/>
      <x:color rgb="FF0070C0"/>
      <x:name val="맑은 고딕"/>
      <x:family val="3"/>
      <x:charset val="129"/>
      <x:scheme val="minor"/>
    </x:font>
    <x:font>
      <x:vertAlign val="baselin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4"/>
      </x:patternFill>
    </x:fill>
    <x:fill>
      <x:patternFill patternType="solid">
        <x:fgColor rgb="FFEAF6FF"/>
      </x:patternFill>
    </x:fill>
  </x:fills>
  <x:borders count="20">
    <x:border>
      <x:left/>
      <x:right/>
      <x:top/>
      <x:bottom/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theme="1"/>
      </x:bottom>
      <x:diagonal/>
    </x:border>
    <x:border>
      <x:left style="thin">
        <x:color theme="1"/>
      </x:left>
      <x:right/>
      <x:top style="thin">
        <x:color theme="1"/>
      </x:top>
      <x:bottom style="thin">
        <x:color theme="1"/>
      </x:bottom>
      <x:diagonal/>
    </x:border>
    <x:border>
      <x:left/>
      <x:right/>
      <x:top style="thin">
        <x:color theme="1"/>
      </x:top>
      <x:bottom style="thin">
        <x:color theme="1"/>
      </x:bottom>
      <x:diagonal/>
    </x:border>
    <x:border>
      <x:left/>
      <x:right style="thin">
        <x:color theme="1"/>
      </x:right>
      <x:top style="thin">
        <x:color theme="1"/>
      </x:top>
      <x:bottom style="thin">
        <x:color theme="1"/>
      </x:bottom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/>
      <x:diagonal/>
    </x:border>
    <x:border>
      <x:left style="thin">
        <x:color theme="1"/>
      </x:left>
      <x:right style="thin">
        <x:color theme="1"/>
      </x:right>
      <x:top/>
      <x:bottom style="thin">
        <x:color theme="1"/>
      </x:bottom>
      <x:diagonal/>
    </x:border>
    <x:border>
      <x:left/>
      <x:right/>
      <x:top/>
      <x:bottom style="thin">
        <x:color theme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</x:borders>
  <x:cellStyleXfs count="44">
    <x:xf numFmtId="0" fontId="0" fillId="0" borderId="0">
      <x:alignment vertical="center"/>
    </x:xf>
    <x:xf numFmtId="0" fontId="1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5" fillId="0" borderId="0" applyNumberFormat="1" applyFill="1" applyBorder="0" applyAlignment="1" applyProtection="1">
      <x:protection locked="1" hidden="0"/>
    </x:xf>
    <x:xf numFmtId="176" fontId="8" fillId="2" borderId="7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3" borderId="1" applyNumberFormat="1" applyFill="0" applyBorder="1" applyAlignment="1" applyProtection="1">
      <x:protection locked="0" hidden="0"/>
    </x:xf>
    <x:xf numFmtId="0" fontId="8" fillId="2" borderId="1" applyNumberFormat="1" applyFill="0" applyBorder="1" applyAlignment="1" applyProtection="1">
      <x:protection locked="1" hidden="0"/>
    </x:xf>
    <x:xf numFmtId="0" fontId="8" fillId="2" borderId="2" applyNumberFormat="1" applyFill="0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1" fillId="2" borderId="1" applyNumberFormat="1" applyFill="0" applyBorder="1" applyAlignment="1" applyProtection="1">
      <x:protection locked="1" hidden="0"/>
    </x:xf>
    <x:xf numFmtId="14" fontId="7" fillId="2" borderId="7" applyNumberFormat="1" applyFill="0" applyBorder="1" applyAlignment="1" applyProtection="1">
      <x:protection locked="1" hidden="0"/>
    </x:xf>
    <x:xf numFmtId="0" fontId="0" fillId="2" borderId="7" quotePrefix="1" applyNumberFormat="1" applyFill="0" applyBorder="1" applyAlignment="1" applyProtection="1">
      <x:protection locked="1" hidden="0"/>
    </x:xf>
    <x:xf numFmtId="14" fontId="3" fillId="2" borderId="7" applyNumberFormat="1" applyFill="0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8" fillId="2" borderId="8" applyNumberFormat="1" applyFill="0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8" fillId="2" borderId="10" applyNumberFormat="1" applyFill="0" applyBorder="1" applyAlignment="1" applyProtection="1">
      <x:protection locked="1" hidden="0"/>
    </x:xf>
    <x:xf numFmtId="0" fontId="8" fillId="2" borderId="11" applyNumberFormat="1" applyFill="0" applyBorder="1" applyAlignment="1" applyProtection="1">
      <x:protection locked="1" hidden="0"/>
    </x:xf>
    <x:xf numFmtId="177" fontId="0" fillId="2" borderId="8" applyNumberFormat="1" applyFill="0" applyBorder="1" applyAlignment="1" applyProtection="1">
      <x:protection locked="1" hidden="0"/>
    </x:xf>
    <x:xf numFmtId="41" fontId="8" fillId="2" borderId="8" applyNumberFormat="1" applyFill="0" applyBorder="1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0" fontId="8" fillId="2" borderId="13" applyNumberFormat="1" applyFill="0" applyBorder="1" applyAlignment="1" applyProtection="1">
      <x:protection locked="1" hidden="0"/>
    </x:xf>
    <x:xf numFmtId="0" fontId="8" fillId="2" borderId="14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16" applyNumberFormat="1" applyFill="0" applyBorder="1" applyAlignment="1" applyProtection="1">
      <x:protection locked="1" hidden="0"/>
    </x:xf>
    <x:xf numFmtId="0" fontId="8" fillId="2" borderId="17" applyNumberFormat="1" applyFill="0" applyBorder="1" applyAlignment="1" applyProtection="1">
      <x:protection locked="1" hidden="0"/>
    </x:xf>
    <x:xf numFmtId="0" fontId="8" fillId="2" borderId="18" applyNumberFormat="1" applyFill="0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1" hidden="0"/>
    </x:xf>
  </x:cellStyleXfs>
  <x:cellXfs count="90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14" fontId="0" fillId="0" borderId="0" xfId="0" applyNumberFormat="1">
      <x:alignment vertical="center"/>
    </x:xf>
    <x:xf numFmtId="0" fontId="1" fillId="0" borderId="0" xfId="1">
      <x:alignment vertical="center"/>
    </x:xf>
    <x:xf numFmtId="14" fontId="1" fillId="0" borderId="0" xfId="1" applyNumberFormat="1">
      <x:alignment vertical="center"/>
    </x:xf>
    <x:xf numFmtId="0" fontId="0" fillId="0" borderId="8" xfId="0" applyBorder="1" applyAlignment="1">
      <x:alignment horizontal="center" vertical="center"/>
    </x:xf>
    <x:xf numFmtId="0" fontId="0" fillId="0" borderId="8" xfId="0" applyBorder="1">
      <x:alignment vertical="center"/>
    </x:xf>
    <x:xf numFmtId="0" fontId="0" fillId="0" borderId="8" xfId="0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10" xfId="0" applyBorder="1" applyAlignment="1">
      <x:alignment horizontal="center" vertical="center"/>
    </x:xf>
    <x:xf numFmtId="0" fontId="0" fillId="0" borderId="11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14" fontId="7" fillId="2" borderId="7" xfId="0" applyNumberFormat="1" applyFont="1" applyFill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8" fillId="2" borderId="2" xfId="0" applyFont="1" applyFill="1" applyBorder="1" applyAlignment="1">
      <x:alignment horizontal="left" vertical="center"/>
    </x:xf>
    <x:xf numFmtId="0" fontId="8" fillId="2" borderId="3" xfId="0" applyFont="1" applyFill="1" applyBorder="1" applyAlignment="1">
      <x:alignment horizontal="left" vertical="center"/>
    </x:xf>
    <x:xf numFmtId="0" fontId="8" fillId="2" borderId="4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8" fillId="2" borderId="3" xfId="0" applyFont="1" applyFill="1" applyBorder="1" applyAlignment="1">
      <x:alignment horizontal="center" vertical="center"/>
    </x:xf>
    <x:xf numFmtId="0" fontId="8" fillId="2" borderId="4" xfId="0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left" vertical="center" wrapText="1"/>
    </x:xf>
    <x:xf numFmtId="0" fontId="9" fillId="2" borderId="1" xfId="0" applyFont="1" applyFill="1" applyBorder="1" applyAlignment="1">
      <x:alignment horizontal="left" vertical="center"/>
    </x:xf>
    <x:xf numFmtId="0" fontId="10" fillId="2" borderId="1" xfId="0" applyFont="1" applyFill="1" applyBorder="1" applyAlignment="1">
      <x:alignment horizontal="left" vertical="center"/>
    </x:xf>
    <x:xf numFmtId="0" fontId="11" fillId="2" borderId="1" xfId="0" applyFont="1" applyFill="1" applyBorder="1" applyAlignment="1">
      <x:alignment horizontal="left" vertical="center" wrapText="1" shrinkToFit="1"/>
    </x:xf>
    <x:xf numFmtId="0" fontId="8" fillId="2" borderId="1" xfId="0" applyFont="1" applyFill="1" applyBorder="1" applyAlignment="1">
      <x:alignment horizontal="left" vertical="center"/>
    </x:xf>
    <x:xf numFmtId="0" fontId="8" fillId="2" borderId="1" xfId="0" applyFont="1" applyFill="1" applyBorder="1">
      <x:alignment vertical="center"/>
    </x:xf>
    <x:xf numFmtId="0" fontId="0" fillId="2" borderId="7" xfId="0" quotePrefix="1" applyFill="1" applyBorder="1" applyAlignment="1">
      <x:alignment horizontal="center" vertical="center"/>
    </x:xf>
    <x:xf numFmtId="14" fontId="3" fillId="2" borderId="7" xfId="0" applyNumberFormat="1" applyFont="1" applyFill="1" applyBorder="1" applyAlignment="1">
      <x:alignment horizontal="center" vertical="center"/>
    </x:xf>
    <x:xf numFmtId="0" fontId="8" fillId="2" borderId="8" xfId="0" applyFont="1" applyFill="1" applyBorder="1" applyAlignment="1">
      <x:alignment horizontal="center" vertical="center"/>
    </x:xf>
    <x:xf numFmtId="0" fontId="8" fillId="2" borderId="9" xfId="0" applyFont="1" applyFill="1" applyBorder="1" applyAlignment="1">
      <x:alignment horizontal="center" vertical="center"/>
    </x:xf>
    <x:xf numFmtId="0" fontId="8" fillId="2" borderId="10" xfId="0" applyFont="1" applyFill="1" applyBorder="1" applyAlignment="1">
      <x:alignment horizontal="center" vertical="center"/>
    </x:xf>
    <x:xf numFmtId="0" fontId="8" fillId="2" borderId="11" xfId="0" applyFont="1" applyFill="1" applyBorder="1" applyAlignment="1">
      <x:alignment horizontal="center" vertical="center"/>
    </x:xf>
    <x:xf numFmtId="0" fontId="8" fillId="2" borderId="8" xfId="0" applyFont="1" applyFill="1" applyBorder="1">
      <x:alignment vertical="center"/>
    </x:xf>
    <x:xf numFmtId="41" fontId="8" fillId="2" borderId="8" xfId="2" applyFont="1" applyFill="1" applyBorder="1" applyAlignment="1">
      <x:alignment horizontal="center" vertical="center"/>
    </x:xf>
    <x:xf numFmtId="0" fontId="8" fillId="2" borderId="12" xfId="0" applyFont="1" applyFill="1" applyBorder="1">
      <x:alignment vertical="center"/>
    </x:xf>
    <x:xf numFmtId="0" fontId="8" fillId="2" borderId="13" xfId="0" applyFont="1" applyFill="1" applyBorder="1">
      <x:alignment vertical="center"/>
    </x:xf>
    <x:xf numFmtId="0" fontId="8" fillId="2" borderId="14" xfId="0" applyFont="1" applyFill="1" applyBorder="1">
      <x:alignment vertical="center"/>
    </x:xf>
    <x:xf numFmtId="0" fontId="8" fillId="2" borderId="15" xfId="0" applyFont="1" applyFill="1" applyBorder="1">
      <x:alignment vertical="center"/>
    </x:xf>
    <x:xf numFmtId="0" fontId="8" fillId="2" borderId="0" xfId="0" applyFont="1" applyFill="1">
      <x:alignment vertical="center"/>
    </x:xf>
    <x:xf numFmtId="0" fontId="8" fillId="2" borderId="16" xfId="0" applyFont="1" applyFill="1" applyBorder="1">
      <x:alignment vertical="center"/>
    </x:xf>
    <x:xf numFmtId="0" fontId="8" fillId="2" borderId="17" xfId="0" applyFont="1" applyFill="1" applyBorder="1">
      <x:alignment vertical="center"/>
    </x:xf>
    <x:xf numFmtId="0" fontId="8" fillId="2" borderId="18" xfId="0" applyFont="1" applyFill="1" applyBorder="1">
      <x:alignment vertical="center"/>
    </x:xf>
    <x:xf numFmtId="0" fontId="8" fillId="2" borderId="19" xfId="0" applyFont="1" applyFill="1" applyBorder="1">
      <x:alignment vertical="center"/>
    </x:xf>
    <x:xf numFmtId="176" fontId="8" fillId="2" borderId="7" xfId="0" applyNumberFormat="1" applyFont="1" applyFill="1" applyBorder="1" applyAlignment="1">
      <x:alignment horizontal="center" vertical="center"/>
    </x:xf>
    <x:xf numFmtId="177" fontId="0" fillId="2" borderId="8" xfId="0" applyNumberForma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2" borderId="1" xfId="0" applyNumberFormat="1" applyFill="0" applyBorder="1" applyAlignment="1" applyProtection="1">
      <x:alignment horizontal="left" vertical="center" textRotation="0" wrapText="1" indent="0" relativeIndent="0" justifyLastLine="0" shrinkToFit="1" readingOrder="0"/>
      <x:protection locked="1" hidden="0"/>
    </x:xf>
    <x:xf numFmtId="0" fontId="8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7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1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3">
    <x:cellStyle name="쉼표 [0]" xfId="2" builtinId="6"/>
    <x:cellStyle name="표준" xfId="0" builtinId="0"/>
    <x:cellStyle name="표준 2" xfId="1" xr:uid="{83D5D7E9-A66B-4047-9C13-302631D5FA28}"/>
  </x:cellStyles>
  <x:dxfs count="1">
    <x:dxf>
      <x:fill>
        <x:patternFill patternType="solid">
          <x:fgColor auto="1"/>
          <x:bgColor theme="0" tint="-0.14996795556505021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3C4647A-7089-4A36-9A5E-6F16D8F59A96}" mc:Ignorable="x14ac xr xr2 xr3">
  <x:sheetPr>
    <x:outlinePr summaryBelow="1" summaryRight="1"/>
  </x:sheetPr>
  <x:dimension ref="B1:U82"/>
  <x:sheetViews>
    <x:sheetView showGridLines="0" tabSelected="1" workbookViewId="0">
      <x:selection activeCell="B48" sqref="B48"/>
    </x:sheetView>
  </x:sheetViews>
  <x:sheetFormatPr defaultRowHeight="16.5" x14ac:dyDescent="0.3"/>
  <x:cols>
    <x:col min="1" max="1" width="0.625" style="0" customWidth="1"/>
    <x:col min="2" max="2" width="10.625" style="0" bestFit="1" customWidth="1"/>
    <x:col min="3" max="4" width="9.090625" style="0" customWidth="1"/>
    <x:col min="5" max="17" width="3.625" style="0" customWidth="1"/>
    <x:col min="18" max="20" width="9.090625" style="0" customWidth="1"/>
    <x:col min="21" max="21" width="12" style="0" customWidth="1"/>
  </x:cols>
  <x:sheetData>
    <x:row r="1" spans="1:21" x14ac:dyDescent="0.3">
      <x:c r="B1" s="19" t="s">
        <x:v>1</x:v>
      </x:c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</x:row>
    <x:row r="2" spans="1:21" x14ac:dyDescent="0.3"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</x:row>
    <x:row r="3" spans="1:21" x14ac:dyDescent="0.3">
      <x:c r="B3" s="0" t="s">
        <x:v>2</x:v>
      </x:c>
      <x:c r="S3" s="56">
        <x:v>46080</x:v>
      </x:c>
      <x:c r="T3" s="56"/>
      <x:c r="U3" s="56"/>
    </x:row>
    <x:row r="4" spans="1:21" x14ac:dyDescent="0.3">
      <x:c r="B4" s="1" t="s">
        <x:v>3</x:v>
      </x:c>
      <x:c r="C4" s="1"/>
      <x:c r="D4" s="1" t="s">
        <x:v>4</x:v>
      </x:c>
      <x:c r="E4" s="1" t="s">
        <x:v>5</x:v>
      </x:c>
      <x:c r="F4" s="1"/>
      <x:c r="G4" s="1" t="s">
        <x:v>6</x:v>
      </x:c>
      <x:c r="H4" s="1"/>
      <x:c r="I4" s="1" t="s">
        <x:v>7</x:v>
      </x:c>
      <x:c r="J4" s="1"/>
      <x:c r="K4" s="16" t="s">
        <x:v>8</x:v>
      </x:c>
      <x:c r="L4" s="17"/>
      <x:c r="M4" s="17"/>
      <x:c r="N4" s="17"/>
      <x:c r="O4" s="17"/>
      <x:c r="P4" s="17"/>
      <x:c r="Q4" s="17"/>
      <x:c r="R4" s="17"/>
      <x:c r="S4" s="17"/>
      <x:c r="T4" s="17"/>
      <x:c r="U4" s="18"/>
    </x:row>
    <x:row r="5" spans="1:21" x14ac:dyDescent="0.3">
      <x:c r="B5" s="1" t="s">
        <x:v>9</x:v>
      </x:c>
      <x:c r="C5" s="1"/>
      <x:c r="D5" s="57">
        <x:f>SUM(D13:D17)</x:f>
      </x:c>
      <x:c r="E5" s="58">
        <x:f>SUM(E13:F17)</x:f>
      </x:c>
      <x:c r="F5" s="58"/>
      <x:c r="G5" s="58">
        <x:f>SUM(G13:H17)</x:f>
      </x:c>
      <x:c r="H5" s="58"/>
      <x:c r="I5" s="58">
        <x:f>SUM(I13:J17)</x:f>
      </x:c>
      <x:c r="J5" s="58"/>
      <x:c r="K5" s="59"/>
      <x:c r="L5" s="60"/>
      <x:c r="M5" s="60"/>
      <x:c r="N5" s="60"/>
      <x:c r="O5" s="60"/>
      <x:c r="P5" s="60"/>
      <x:c r="Q5" s="60"/>
      <x:c r="R5" s="60"/>
      <x:c r="S5" s="60"/>
      <x:c r="T5" s="60"/>
      <x:c r="U5" s="61"/>
    </x:row>
    <x:row r="6" spans="1:21" x14ac:dyDescent="0.3">
      <x:c r="B6" s="1" t="s">
        <x:v>10</x:v>
      </x:c>
      <x:c r="C6" s="1"/>
      <x:c r="D6" s="57">
        <x:f>SUM(D20:D25)</x:f>
      </x:c>
      <x:c r="E6" s="58">
        <x:f>SUM(E20:F25)</x:f>
      </x:c>
      <x:c r="F6" s="58"/>
      <x:c r="G6" s="58">
        <x:f>SUM(G20:H25)</x:f>
      </x:c>
      <x:c r="H6" s="58"/>
      <x:c r="I6" s="58">
        <x:f>SUM(I20:J25)</x:f>
      </x:c>
      <x:c r="J6" s="58"/>
      <x:c r="K6" s="59"/>
      <x:c r="L6" s="60"/>
      <x:c r="M6" s="60"/>
      <x:c r="N6" s="60"/>
      <x:c r="O6" s="60"/>
      <x:c r="P6" s="60"/>
      <x:c r="Q6" s="60"/>
      <x:c r="R6" s="60"/>
      <x:c r="S6" s="60"/>
      <x:c r="T6" s="60"/>
      <x:c r="U6" s="61"/>
    </x:row>
    <x:row r="7" spans="1:21" x14ac:dyDescent="0.3">
      <x:c r="B7" s="1" t="s">
        <x:v>11</x:v>
      </x:c>
      <x:c r="C7" s="1"/>
      <x:c r="D7" s="57">
        <x:f>SUM(D28)</x:f>
      </x:c>
      <x:c r="E7" s="58">
        <x:f>SUM(E28)</x:f>
      </x:c>
      <x:c r="F7" s="58"/>
      <x:c r="G7" s="58">
        <x:f>SUM(G28)</x:f>
      </x:c>
      <x:c r="H7" s="58"/>
      <x:c r="I7" s="58">
        <x:f>SUM(I28)</x:f>
      </x:c>
      <x:c r="J7" s="58"/>
      <x:c r="K7" s="59"/>
      <x:c r="L7" s="60"/>
      <x:c r="M7" s="60"/>
      <x:c r="N7" s="60"/>
      <x:c r="O7" s="60"/>
      <x:c r="P7" s="60"/>
      <x:c r="Q7" s="60"/>
      <x:c r="R7" s="60"/>
      <x:c r="S7" s="60"/>
      <x:c r="T7" s="60"/>
      <x:c r="U7" s="61"/>
    </x:row>
    <x:row r="8" spans="1:21" x14ac:dyDescent="0.3">
      <x:c r="B8" s="1" t="s">
        <x:v>12</x:v>
      </x:c>
      <x:c r="C8" s="1"/>
      <x:c r="D8" s="57">
        <x:f>SUM(D5:D7)</x:f>
      </x:c>
      <x:c r="E8" s="58">
        <x:f>SUM(E5:F7)</x:f>
      </x:c>
      <x:c r="F8" s="58"/>
      <x:c r="G8" s="58">
        <x:f>SUM(G5:H7)</x:f>
      </x:c>
      <x:c r="H8" s="58"/>
      <x:c r="I8" s="58">
        <x:f>SUM(I5:J7)</x:f>
      </x:c>
      <x:c r="J8" s="58"/>
      <x:c r="K8" s="59"/>
      <x:c r="L8" s="60"/>
      <x:c r="M8" s="60"/>
      <x:c r="N8" s="60"/>
      <x:c r="O8" s="60"/>
      <x:c r="P8" s="60"/>
      <x:c r="Q8" s="60"/>
      <x:c r="R8" s="60"/>
      <x:c r="S8" s="60"/>
      <x:c r="T8" s="60"/>
      <x:c r="U8" s="61"/>
    </x:row>
    <x:row r="9" spans="1:21" x14ac:dyDescent="0.3">
      <x:c r="B9" s="16"/>
      <x:c r="C9" s="17"/>
      <x:c r="D9" s="17"/>
      <x:c r="E9" s="17"/>
      <x:c r="F9" s="17"/>
      <x:c r="G9" s="17"/>
      <x:c r="H9" s="17"/>
      <x:c r="I9" s="17"/>
      <x:c r="J9" s="18"/>
      <x:c r="K9" s="16"/>
      <x:c r="L9" s="17"/>
      <x:c r="M9" s="17"/>
      <x:c r="N9" s="17"/>
      <x:c r="O9" s="17"/>
      <x:c r="P9" s="17"/>
      <x:c r="Q9" s="17"/>
      <x:c r="R9" s="17"/>
      <x:c r="S9" s="17"/>
      <x:c r="T9" s="17"/>
      <x:c r="U9" s="18"/>
    </x:row>
    <x:row r="10" spans="1:21" x14ac:dyDescent="0.3">
      <x:c r="B10" s="1" t="s">
        <x:v>13</x:v>
      </x:c>
      <x:c r="C10" s="1"/>
      <x:c r="D10" s="58">
        <x:v>2</x:v>
      </x:c>
      <x:c r="E10" s="62"/>
      <x:c r="F10" s="63"/>
      <x:c r="G10" s="63"/>
      <x:c r="H10" s="63"/>
      <x:c r="I10" s="63"/>
      <x:c r="J10" s="64"/>
      <x:c r="K10" s="59"/>
      <x:c r="L10" s="60"/>
      <x:c r="M10" s="60"/>
      <x:c r="N10" s="60"/>
      <x:c r="O10" s="60"/>
      <x:c r="P10" s="60"/>
      <x:c r="Q10" s="60"/>
      <x:c r="R10" s="60"/>
      <x:c r="S10" s="60"/>
      <x:c r="T10" s="60"/>
      <x:c r="U10" s="61"/>
    </x:row>
    <x:row r="12" spans="1:21" x14ac:dyDescent="0.3">
      <x:c r="B12" s="1" t="s">
        <x:v>14</x:v>
      </x:c>
      <x:c r="C12" s="1"/>
      <x:c r="D12" s="1" t="s">
        <x:v>4</x:v>
      </x:c>
      <x:c r="E12" s="1" t="s">
        <x:v>5</x:v>
      </x:c>
      <x:c r="F12" s="1"/>
      <x:c r="G12" s="1" t="s">
        <x:v>6</x:v>
      </x:c>
      <x:c r="H12" s="1"/>
      <x:c r="I12" s="1" t="s">
        <x:v>7</x:v>
      </x:c>
      <x:c r="J12" s="1"/>
      <x:c r="K12" s="1" t="s">
        <x:v>15</x:v>
      </x:c>
      <x:c r="L12" s="1"/>
      <x:c r="M12" s="1"/>
      <x:c r="N12" s="1"/>
      <x:c r="O12" s="1"/>
      <x:c r="P12" s="1"/>
      <x:c r="Q12" s="1"/>
      <x:c r="R12" s="1"/>
      <x:c r="S12" s="1" t="s">
        <x:v>16</x:v>
      </x:c>
      <x:c r="T12" s="1"/>
      <x:c r="U12" s="1"/>
    </x:row>
    <x:row r="13" spans="1:21" ht="36" customHeight="1" x14ac:dyDescent="0.3">
      <x:c r="B13" s="1" t="s">
        <x:v>17</x:v>
      </x:c>
      <x:c r="C13" s="1"/>
      <x:c r="D13" s="58">
        <x:v>6</x:v>
      </x:c>
      <x:c r="E13" s="58">
        <x:f>D13-SUM(G13:J13)</x:f>
      </x:c>
      <x:c r="F13" s="58"/>
      <x:c r="G13" s="58">
        <x:v>0</x:v>
      </x:c>
      <x:c r="H13" s="58"/>
      <x:c r="I13" s="58">
        <x:v>0</x:v>
      </x:c>
      <x:c r="J13" s="58"/>
      <x:c r="K13" s="65"/>
      <x:c r="L13" s="65"/>
      <x:c r="M13" s="65"/>
      <x:c r="N13" s="65"/>
      <x:c r="O13" s="65"/>
      <x:c r="P13" s="65"/>
      <x:c r="Q13" s="65"/>
      <x:c r="R13" s="65"/>
      <x:c r="S13" s="66"/>
      <x:c r="T13" s="67"/>
      <x:c r="U13" s="67"/>
    </x:row>
    <x:row r="14" spans="1:21" ht="36" customHeight="1" x14ac:dyDescent="0.3">
      <x:c r="B14" s="1" t="s">
        <x:v>18</x:v>
      </x:c>
      <x:c r="C14" s="1"/>
      <x:c r="D14" s="58">
        <x:v>5</x:v>
      </x:c>
      <x:c r="E14" s="58">
        <x:f>D14-SUM(G14:J14)</x:f>
      </x:c>
      <x:c r="F14" s="58"/>
      <x:c r="G14" s="58">
        <x:v>0</x:v>
      </x:c>
      <x:c r="H14" s="58"/>
      <x:c r="I14" s="58">
        <x:v>0</x:v>
      </x:c>
      <x:c r="J14" s="58"/>
      <x:c r="K14" s="65"/>
      <x:c r="L14" s="65"/>
      <x:c r="M14" s="65"/>
      <x:c r="N14" s="65"/>
      <x:c r="O14" s="65"/>
      <x:c r="P14" s="65"/>
      <x:c r="Q14" s="65"/>
      <x:c r="R14" s="65"/>
      <x:c r="S14" s="68"/>
      <x:c r="T14" s="68"/>
      <x:c r="U14" s="68"/>
    </x:row>
    <x:row r="15" spans="1:21" ht="36" customHeight="1" x14ac:dyDescent="0.3">
      <x:c r="B15" s="1" t="s">
        <x:v>19</x:v>
      </x:c>
      <x:c r="C15" s="1"/>
      <x:c r="D15" s="58">
        <x:v>2</x:v>
      </x:c>
      <x:c r="E15" s="58">
        <x:f>D15-SUM(G15:J15)</x:f>
      </x:c>
      <x:c r="F15" s="58"/>
      <x:c r="G15" s="58">
        <x:v>0</x:v>
      </x:c>
      <x:c r="H15" s="58"/>
      <x:c r="I15" s="58">
        <x:v>0</x:v>
      </x:c>
      <x:c r="J15" s="58"/>
      <x:c r="K15" s="65"/>
      <x:c r="L15" s="65"/>
      <x:c r="M15" s="65"/>
      <x:c r="N15" s="65"/>
      <x:c r="O15" s="65"/>
      <x:c r="P15" s="65"/>
      <x:c r="Q15" s="65"/>
      <x:c r="R15" s="65"/>
      <x:c r="S15" s="69"/>
      <x:c r="T15" s="69"/>
      <x:c r="U15" s="69"/>
    </x:row>
    <x:row r="16" spans="1:21" ht="36" customHeight="1" x14ac:dyDescent="0.3">
      <x:c r="B16" s="1" t="s">
        <x:v>20</x:v>
      </x:c>
      <x:c r="C16" s="1"/>
      <x:c r="D16" s="58">
        <x:v>7</x:v>
      </x:c>
      <x:c r="E16" s="58">
        <x:f>D16-SUM(G16:J16)</x:f>
      </x:c>
      <x:c r="F16" s="58"/>
      <x:c r="G16" s="58">
        <x:v>0</x:v>
      </x:c>
      <x:c r="H16" s="58"/>
      <x:c r="I16" s="58">
        <x:v>0</x:v>
      </x:c>
      <x:c r="J16" s="58"/>
      <x:c r="K16" s="65"/>
      <x:c r="L16" s="65"/>
      <x:c r="M16" s="65"/>
      <x:c r="N16" s="65"/>
      <x:c r="O16" s="65"/>
      <x:c r="P16" s="65"/>
      <x:c r="Q16" s="65"/>
      <x:c r="R16" s="65"/>
      <x:c r="S16" s="66"/>
      <x:c r="T16" s="67"/>
      <x:c r="U16" s="67"/>
    </x:row>
    <x:row r="17" spans="1:21" x14ac:dyDescent="0.3">
      <x:c r="B17" s="1" t="s">
        <x:v>21</x:v>
      </x:c>
      <x:c r="C17" s="1"/>
      <x:c r="D17" s="58">
        <x:v>1</x:v>
      </x:c>
      <x:c r="E17" s="58">
        <x:f>D17-SUM(G17:J17)</x:f>
      </x:c>
      <x:c r="F17" s="58"/>
      <x:c r="G17" s="58">
        <x:v>0</x:v>
      </x:c>
      <x:c r="H17" s="58"/>
      <x:c r="I17" s="58">
        <x:v>0</x:v>
      </x:c>
      <x:c r="J17" s="58"/>
      <x:c r="K17" s="65"/>
      <x:c r="L17" s="65"/>
      <x:c r="M17" s="65"/>
      <x:c r="N17" s="65"/>
      <x:c r="O17" s="65"/>
      <x:c r="P17" s="65"/>
      <x:c r="Q17" s="65"/>
      <x:c r="R17" s="65"/>
      <x:c r="S17" s="66"/>
      <x:c r="T17" s="67"/>
      <x:c r="U17" s="67"/>
    </x:row>
    <x:row r="19" spans="1:21" x14ac:dyDescent="0.3">
      <x:c r="B19" s="1" t="s">
        <x:v>22</x:v>
      </x:c>
      <x:c r="C19" s="1"/>
      <x:c r="D19" s="1" t="s">
        <x:v>4</x:v>
      </x:c>
      <x:c r="E19" s="1" t="s">
        <x:v>5</x:v>
      </x:c>
      <x:c r="F19" s="1"/>
      <x:c r="G19" s="1" t="s">
        <x:v>6</x:v>
      </x:c>
      <x:c r="H19" s="1"/>
      <x:c r="I19" s="1" t="s">
        <x:v>7</x:v>
      </x:c>
      <x:c r="J19" s="1"/>
      <x:c r="K19" s="1" t="s">
        <x:v>15</x:v>
      </x:c>
      <x:c r="L19" s="1"/>
      <x:c r="M19" s="1"/>
      <x:c r="N19" s="1"/>
      <x:c r="O19" s="1"/>
      <x:c r="P19" s="1"/>
      <x:c r="Q19" s="1"/>
      <x:c r="R19" s="1"/>
      <x:c r="S19" s="1" t="s">
        <x:v>16</x:v>
      </x:c>
      <x:c r="T19" s="1"/>
      <x:c r="U19" s="1"/>
    </x:row>
    <x:row r="20" spans="1:21" ht="24" customHeight="1" x14ac:dyDescent="0.3">
      <x:c r="B20" s="1" t="s">
        <x:v>23</x:v>
      </x:c>
      <x:c r="C20" s="1"/>
      <x:c r="D20" s="58">
        <x:v>3</x:v>
      </x:c>
      <x:c r="E20" s="58">
        <x:f>D20-SUM(G20:J20)</x:f>
      </x:c>
      <x:c r="F20" s="58"/>
      <x:c r="G20" s="58">
        <x:v>0</x:v>
      </x:c>
      <x:c r="H20" s="58"/>
      <x:c r="I20" s="58">
        <x:v>0</x:v>
      </x:c>
      <x:c r="J20" s="58"/>
      <x:c r="K20" s="69"/>
      <x:c r="L20" s="69"/>
      <x:c r="M20" s="69"/>
      <x:c r="N20" s="69"/>
      <x:c r="O20" s="69"/>
      <x:c r="P20" s="69"/>
      <x:c r="Q20" s="69"/>
      <x:c r="R20" s="69"/>
      <x:c r="S20" s="58"/>
      <x:c r="T20" s="58"/>
      <x:c r="U20" s="58"/>
    </x:row>
    <x:row r="21" spans="1:21" ht="24" customHeight="1" x14ac:dyDescent="0.3">
      <x:c r="B21" s="1" t="s">
        <x:v>24</x:v>
      </x:c>
      <x:c r="C21" s="1"/>
      <x:c r="D21" s="58">
        <x:v>1</x:v>
      </x:c>
      <x:c r="E21" s="58">
        <x:f>D21-SUM(G21:J21)</x:f>
      </x:c>
      <x:c r="F21" s="58"/>
      <x:c r="G21" s="58">
        <x:v>0</x:v>
      </x:c>
      <x:c r="H21" s="58"/>
      <x:c r="I21" s="58">
        <x:v>0</x:v>
      </x:c>
      <x:c r="J21" s="58"/>
      <x:c r="K21" s="69"/>
      <x:c r="L21" s="69"/>
      <x:c r="M21" s="69"/>
      <x:c r="N21" s="69"/>
      <x:c r="O21" s="69"/>
      <x:c r="P21" s="69"/>
      <x:c r="Q21" s="69"/>
      <x:c r="R21" s="69"/>
      <x:c r="S21" s="58"/>
      <x:c r="T21" s="58"/>
      <x:c r="U21" s="58"/>
    </x:row>
    <x:row r="22" spans="1:21" ht="36" customHeight="1" x14ac:dyDescent="0.3">
      <x:c r="B22" s="1" t="s">
        <x:v>25</x:v>
      </x:c>
      <x:c r="C22" s="1"/>
      <x:c r="D22" s="58">
        <x:v>2</x:v>
      </x:c>
      <x:c r="E22" s="58">
        <x:f>D22-SUM(G22:J22)</x:f>
      </x:c>
      <x:c r="F22" s="58"/>
      <x:c r="G22" s="58">
        <x:v>0</x:v>
      </x:c>
      <x:c r="H22" s="58"/>
      <x:c r="I22" s="58">
        <x:v>0</x:v>
      </x:c>
      <x:c r="J22" s="58"/>
      <x:c r="K22" s="69"/>
      <x:c r="L22" s="69"/>
      <x:c r="M22" s="69"/>
      <x:c r="N22" s="69"/>
      <x:c r="O22" s="69"/>
      <x:c r="P22" s="69"/>
      <x:c r="Q22" s="69"/>
      <x:c r="R22" s="69"/>
      <x:c r="S22" s="58"/>
      <x:c r="T22" s="58"/>
      <x:c r="U22" s="58"/>
    </x:row>
    <x:row r="23" spans="1:21" ht="60" customHeight="1" x14ac:dyDescent="0.3">
      <x:c r="B23" s="1" t="s">
        <x:v>26</x:v>
      </x:c>
      <x:c r="C23" s="1"/>
      <x:c r="D23" s="58">
        <x:v>5</x:v>
      </x:c>
      <x:c r="E23" s="58">
        <x:f>D23-SUM(G23:J23)</x:f>
      </x:c>
      <x:c r="F23" s="58"/>
      <x:c r="G23" s="58">
        <x:v>0</x:v>
      </x:c>
      <x:c r="H23" s="58"/>
      <x:c r="I23" s="58">
        <x:v>0</x:v>
      </x:c>
      <x:c r="J23" s="58"/>
      <x:c r="K23" s="65"/>
      <x:c r="L23" s="69"/>
      <x:c r="M23" s="69"/>
      <x:c r="N23" s="69"/>
      <x:c r="O23" s="69"/>
      <x:c r="P23" s="69"/>
      <x:c r="Q23" s="69"/>
      <x:c r="R23" s="69"/>
      <x:c r="S23" s="58"/>
      <x:c r="T23" s="58"/>
      <x:c r="U23" s="58"/>
    </x:row>
    <x:row r="24" spans="1:21" ht="24" customHeight="1" x14ac:dyDescent="0.3">
      <x:c r="B24" s="1" t="s">
        <x:v>27</x:v>
      </x:c>
      <x:c r="C24" s="1"/>
      <x:c r="D24" s="58">
        <x:v>2</x:v>
      </x:c>
      <x:c r="E24" s="58">
        <x:f>D24-SUM(G24:J24)</x:f>
      </x:c>
      <x:c r="F24" s="58"/>
      <x:c r="G24" s="58">
        <x:v>0</x:v>
      </x:c>
      <x:c r="H24" s="58"/>
      <x:c r="I24" s="58">
        <x:v>0</x:v>
      </x:c>
      <x:c r="J24" s="58"/>
      <x:c r="K24" s="69"/>
      <x:c r="L24" s="69"/>
      <x:c r="M24" s="69"/>
      <x:c r="N24" s="69"/>
      <x:c r="O24" s="69"/>
      <x:c r="P24" s="69"/>
      <x:c r="Q24" s="69"/>
      <x:c r="R24" s="69"/>
      <x:c r="S24" s="58"/>
      <x:c r="T24" s="58"/>
      <x:c r="U24" s="58"/>
    </x:row>
    <x:row r="25" spans="1:21" ht="24" customHeight="1" x14ac:dyDescent="0.3">
      <x:c r="B25" s="1" t="s">
        <x:v>28</x:v>
      </x:c>
      <x:c r="C25" s="1"/>
      <x:c r="D25" s="58">
        <x:v>2</x:v>
      </x:c>
      <x:c r="E25" s="58">
        <x:f>D25-SUM(G25:J25)</x:f>
      </x:c>
      <x:c r="F25" s="58"/>
      <x:c r="G25" s="58">
        <x:v>0</x:v>
      </x:c>
      <x:c r="H25" s="58"/>
      <x:c r="I25" s="58">
        <x:v>0</x:v>
      </x:c>
      <x:c r="J25" s="58"/>
      <x:c r="K25" s="69"/>
      <x:c r="L25" s="69"/>
      <x:c r="M25" s="69"/>
      <x:c r="N25" s="69"/>
      <x:c r="O25" s="69"/>
      <x:c r="P25" s="69"/>
      <x:c r="Q25" s="69"/>
      <x:c r="R25" s="69"/>
      <x:c r="S25" s="66"/>
      <x:c r="T25" s="67"/>
      <x:c r="U25" s="67"/>
    </x:row>
    <x:row r="26" spans="1:21" x14ac:dyDescent="0.3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spans="1:21" x14ac:dyDescent="0.3">
      <x:c r="B27" s="1" t="s">
        <x:v>29</x:v>
      </x:c>
      <x:c r="C27" s="1"/>
      <x:c r="D27" s="1" t="s">
        <x:v>4</x:v>
      </x:c>
      <x:c r="E27" s="1" t="s">
        <x:v>5</x:v>
      </x:c>
      <x:c r="F27" s="1"/>
      <x:c r="G27" s="1" t="s">
        <x:v>6</x:v>
      </x:c>
      <x:c r="H27" s="1"/>
      <x:c r="I27" s="1" t="s">
        <x:v>7</x:v>
      </x:c>
      <x:c r="J27" s="1"/>
      <x:c r="K27" s="1" t="s">
        <x:v>15</x:v>
      </x:c>
      <x:c r="L27" s="1"/>
      <x:c r="M27" s="1"/>
      <x:c r="N27" s="1"/>
      <x:c r="O27" s="1"/>
      <x:c r="P27" s="1"/>
      <x:c r="Q27" s="1"/>
      <x:c r="R27" s="1"/>
      <x:c r="S27" s="1" t="s">
        <x:v>16</x:v>
      </x:c>
      <x:c r="T27" s="1"/>
      <x:c r="U27" s="1"/>
    </x:row>
    <x:row r="28" spans="1:21" ht="36" customHeight="1" x14ac:dyDescent="0.3">
      <x:c r="B28" s="1" t="s">
        <x:v>29</x:v>
      </x:c>
      <x:c r="C28" s="1"/>
      <x:c r="D28" s="58">
        <x:v>5</x:v>
      </x:c>
      <x:c r="E28" s="58">
        <x:f>D28-SUM(G28:J28)</x:f>
      </x:c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  <x:c r="P28" s="58"/>
      <x:c r="Q28" s="58"/>
      <x:c r="R28" s="58"/>
      <x:c r="S28" s="58"/>
      <x:c r="T28" s="58"/>
      <x:c r="U28" s="58"/>
    </x:row>
    <x:row r="30" spans="1:21" x14ac:dyDescent="0.3">
      <x:c r="B30" s="0" t="s">
        <x:v>0</x:v>
      </x:c>
      <x:c r="I30" s="70">
        <x:v>46008</x:v>
      </x:c>
      <x:c r="J30" s="70"/>
      <x:c r="K30" s="70"/>
      <x:c r="L30" s="71" t="s">
        <x:v>30</x:v>
      </x:c>
      <x:c r="M30" s="72">
        <x:f>I30+12</x:f>
      </x:c>
      <x:c r="N30" s="72"/>
      <x:c r="O30" s="72"/>
    </x:row>
    <x:row r="31" spans="1:21" ht="7.5" hidden="1" customHeight="1" x14ac:dyDescent="0.3">
      <x:c r="E31" s="3">
        <x:f>I30</x:f>
      </x:c>
      <x:c r="F31" s="3">
        <x:f>$E$31+1</x:f>
      </x:c>
      <x:c r="G31" s="3">
        <x:f>$E$31+2</x:f>
      </x:c>
      <x:c r="H31" s="3">
        <x:f>$E$31+3</x:f>
      </x:c>
      <x:c r="I31" s="3">
        <x:f>$E$31+4</x:f>
      </x:c>
      <x:c r="J31" s="3">
        <x:f>$E$31+5</x:f>
      </x:c>
      <x:c r="K31" s="3">
        <x:f>$E$31+6</x:f>
      </x:c>
      <x:c r="L31" s="3">
        <x:f>$E$31+7</x:f>
      </x:c>
      <x:c r="M31" s="3">
        <x:f>$E$31+8</x:f>
      </x:c>
      <x:c r="N31" s="3">
        <x:f>$E$31+9</x:f>
      </x:c>
      <x:c r="O31" s="3">
        <x:f>$E$31+10</x:f>
      </x:c>
      <x:c r="P31" s="3">
        <x:f>$E$31+11</x:f>
      </x:c>
      <x:c r="Q31" s="3">
        <x:f>$E$31+12</x:f>
      </x:c>
    </x:row>
    <x:row r="32" spans="1:21" x14ac:dyDescent="0.3">
      <x:c r="B32" s="1" t="s">
        <x:v>31</x:v>
      </x:c>
      <x:c r="C32" s="1" t="s">
        <x:v>32</x:v>
      </x:c>
      <x:c r="D32" s="1" t="s">
        <x:v>33</x:v>
      </x:c>
      <x:c r="E32" s="1">
        <x:f>DAY(E31)</x:f>
      </x:c>
      <x:c r="F32" s="1">
        <x:f>DAY(F31)</x:f>
      </x:c>
      <x:c r="G32" s="1">
        <x:f>DAY(G31)</x:f>
      </x:c>
      <x:c r="H32" s="1">
        <x:f>DAY(H31)</x:f>
      </x:c>
      <x:c r="I32" s="1">
        <x:f>DAY(I31)</x:f>
      </x:c>
      <x:c r="J32" s="1">
        <x:f>DAY(J31)</x:f>
      </x:c>
      <x:c r="K32" s="1">
        <x:f>DAY(K31)</x:f>
      </x:c>
      <x:c r="L32" s="1">
        <x:f>DAY(L31)</x:f>
      </x:c>
      <x:c r="M32" s="1">
        <x:f>DAY(M31)</x:f>
      </x:c>
      <x:c r="N32" s="1">
        <x:f>DAY(N31)</x:f>
      </x:c>
      <x:c r="O32" s="1">
        <x:f>DAY(O31)</x:f>
      </x:c>
      <x:c r="P32" s="1">
        <x:f>DAY(P31)</x:f>
      </x:c>
      <x:c r="Q32" s="1">
        <x:f>DAY(Q31)</x:f>
      </x:c>
      <x:c r="R32" s="20" t="s">
        <x:v>34</x:v>
      </x:c>
      <x:c r="S32" s="20" t="s">
        <x:v>35</x:v>
      </x:c>
      <x:c r="T32" s="20" t="s">
        <x:v>36</x:v>
      </x:c>
      <x:c r="U32" s="9" t="s">
        <x:v>37</x:v>
      </x:c>
    </x:row>
    <x:row r="33" spans="1:21" x14ac:dyDescent="0.3">
      <x:c r="B33" s="1"/>
      <x:c r="C33" s="1"/>
      <x:c r="D33" s="1"/>
      <x:c r="E33" s="1">
        <x:f>TEXT(E31,"aaa")</x:f>
      </x:c>
      <x:c r="F33" s="1">
        <x:f>TEXT(F31,"aaa")</x:f>
      </x:c>
      <x:c r="G33" s="1">
        <x:f>TEXT(G31,"aaa")</x:f>
      </x:c>
      <x:c r="H33" s="1">
        <x:f>TEXT(H31,"aaa")</x:f>
      </x:c>
      <x:c r="I33" s="1">
        <x:f>TEXT(I31,"aaa")</x:f>
      </x:c>
      <x:c r="J33" s="1">
        <x:f>TEXT(J31,"aaa")</x:f>
      </x:c>
      <x:c r="K33" s="1">
        <x:f>TEXT(K31,"aaa")</x:f>
      </x:c>
      <x:c r="L33" s="1">
        <x:f>TEXT(L31,"aaa")</x:f>
      </x:c>
      <x:c r="M33" s="1">
        <x:f>TEXT(M31,"aaa")</x:f>
      </x:c>
      <x:c r="N33" s="1">
        <x:f>TEXT(N31,"aaa")</x:f>
      </x:c>
      <x:c r="O33" s="1">
        <x:f>TEXT(O31,"aaa")</x:f>
      </x:c>
      <x:c r="P33" s="1">
        <x:f>TEXT(P31,"aaa")</x:f>
      </x:c>
      <x:c r="Q33" s="1">
        <x:f>TEXT(Q31,"aaa")</x:f>
      </x:c>
      <x:c r="R33" s="21"/>
      <x:c r="S33" s="21"/>
      <x:c r="T33" s="21"/>
      <x:c r="U33" s="10"/>
    </x:row>
    <x:row r="34" spans="1:21" x14ac:dyDescent="0.3"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</x:row>
    <x:row r="35" spans="1:21" x14ac:dyDescent="0.3"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</x:row>
    <x:row r="37" spans="1:21" x14ac:dyDescent="0.3">
      <x:c r="B37" s="0" t="s">
        <x:v>39</x:v>
      </x:c>
    </x:row>
    <x:row r="38" spans="1:21" x14ac:dyDescent="0.3">
      <x:c r="B38" s="6" t="s">
        <x:v>3</x:v>
      </x:c>
      <x:c r="C38" s="6" t="s">
        <x:v>38</x:v>
      </x:c>
      <x:c r="D38" s="6" t="s">
        <x:v>41</x:v>
      </x:c>
      <x:c r="E38" s="6"/>
      <x:c r="F38" s="6"/>
      <x:c r="G38" s="6" t="s">
        <x:v>42</x:v>
      </x:c>
      <x:c r="H38" s="6"/>
      <x:c r="I38" s="6"/>
      <x:c r="J38" s="6"/>
      <x:c r="K38" s="6" t="s">
        <x:v>43</x:v>
      </x:c>
      <x:c r="L38" s="6"/>
      <x:c r="M38" s="6"/>
      <x:c r="N38" s="6"/>
      <x:c r="O38" s="6" t="s">
        <x:v>44</x:v>
      </x:c>
      <x:c r="P38" s="6"/>
      <x:c r="Q38" s="6"/>
      <x:c r="R38" s="6"/>
      <x:c r="S38" s="6"/>
      <x:c r="T38" s="6"/>
      <x:c r="U38" s="6"/>
    </x:row>
    <x:row r="39" spans="1:21" x14ac:dyDescent="0.3">
      <x:c r="B39" s="6" t="s">
        <x:v>45</x:v>
      </x:c>
      <x:c r="C39" s="6" t="s">
        <x:v>46</x:v>
      </x:c>
      <x:c r="D39" s="74"/>
      <x:c r="E39" s="74"/>
      <x:c r="F39" s="74"/>
      <x:c r="G39" s="74"/>
      <x:c r="H39" s="74"/>
      <x:c r="I39" s="74"/>
      <x:c r="J39" s="74"/>
      <x:c r="K39" s="74">
        <x:f>G39-D39</x:f>
      </x:c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</x:row>
    <x:row r="40" spans="1:21" x14ac:dyDescent="0.3">
      <x:c r="B40" s="6" t="s">
        <x:v>47</x:v>
      </x:c>
      <x:c r="C40" s="6" t="s">
        <x:v>48</x:v>
      </x:c>
      <x:c r="D40" s="74"/>
      <x:c r="E40" s="74"/>
      <x:c r="F40" s="74"/>
      <x:c r="G40" s="74"/>
      <x:c r="H40" s="74"/>
      <x:c r="I40" s="74"/>
      <x:c r="J40" s="74"/>
      <x:c r="K40" s="74">
        <x:f>G40-D40</x:f>
      </x:c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</x:row>
    <x:row r="42" spans="1:21" x14ac:dyDescent="0.3">
      <x:c r="B42" s="0" t="s">
        <x:v>49</x:v>
      </x:c>
    </x:row>
    <x:row r="43" spans="1:21" x14ac:dyDescent="0.3">
      <x:c r="B43" s="6" t="s">
        <x:v>3</x:v>
      </x:c>
      <x:c r="C43" s="6" t="s">
        <x:v>38</x:v>
      </x:c>
      <x:c r="D43" s="6" t="s">
        <x:v>43</x:v>
      </x:c>
      <x:c r="E43" s="6"/>
      <x:c r="F43" s="6"/>
      <x:c r="G43" s="6" t="s">
        <x:v>40</x:v>
      </x:c>
      <x:c r="H43" s="6"/>
      <x:c r="I43" s="6"/>
      <x:c r="J43" s="6"/>
      <x:c r="K43" s="11" t="s">
        <x:v>44</x:v>
      </x:c>
      <x:c r="L43" s="12"/>
      <x:c r="M43" s="12"/>
      <x:c r="N43" s="12"/>
      <x:c r="O43" s="12"/>
      <x:c r="P43" s="12"/>
      <x:c r="Q43" s="12"/>
      <x:c r="R43" s="12"/>
      <x:c r="S43" s="12"/>
      <x:c r="T43" s="12"/>
      <x:c r="U43" s="13"/>
    </x:row>
    <x:row r="44" spans="1:21" x14ac:dyDescent="0.3">
      <x:c r="B44" s="6" t="s">
        <x:v>45</x:v>
      </x:c>
      <x:c r="C44" s="6" t="s">
        <x:v>51</x:v>
      </x:c>
      <x:c r="D44" s="74"/>
      <x:c r="E44" s="74"/>
      <x:c r="F44" s="74"/>
      <x:c r="G44" s="74"/>
      <x:c r="H44" s="74"/>
      <x:c r="I44" s="74"/>
      <x:c r="J44" s="74"/>
      <x:c r="K44" s="75"/>
      <x:c r="L44" s="76"/>
      <x:c r="M44" s="76"/>
      <x:c r="N44" s="76"/>
      <x:c r="O44" s="76"/>
      <x:c r="P44" s="76"/>
      <x:c r="Q44" s="76"/>
      <x:c r="R44" s="76"/>
      <x:c r="S44" s="76"/>
      <x:c r="T44" s="76"/>
      <x:c r="U44" s="77"/>
    </x:row>
    <x:row r="46" spans="1:21" x14ac:dyDescent="0.3">
      <x:c r="B46" s="0" t="s">
        <x:v>52</x:v>
      </x:c>
    </x:row>
    <x:row r="47" spans="1:21" x14ac:dyDescent="0.3">
      <x:c r="B47" s="6" t="s">
        <x:v>53</x:v>
      </x:c>
      <x:c r="C47" s="6" t="s">
        <x:v>54</x:v>
      </x:c>
      <x:c r="D47" s="6"/>
      <x:c r="E47" s="6" t="s">
        <x:v>55</x:v>
      </x:c>
      <x:c r="F47" s="6"/>
      <x:c r="G47" s="6"/>
      <x:c r="H47" s="6"/>
      <x:c r="I47" s="6" t="s">
        <x:v>56</x:v>
      </x:c>
      <x:c r="J47" s="6"/>
      <x:c r="K47" s="6"/>
      <x:c r="L47" s="6" t="s">
        <x:v>57</x:v>
      </x:c>
      <x:c r="M47" s="6"/>
      <x:c r="N47" s="6"/>
      <x:c r="O47" s="6"/>
      <x:c r="P47" s="6" t="s">
        <x:v>58</x:v>
      </x:c>
      <x:c r="Q47" s="6"/>
      <x:c r="R47" s="6"/>
      <x:c r="S47" s="6" t="s">
        <x:v>59</x:v>
      </x:c>
      <x:c r="T47" s="6"/>
      <x:c r="U47" s="7" t="s">
        <x:v>60</x:v>
      </x:c>
    </x:row>
    <x:row r="48" spans="1:21" x14ac:dyDescent="0.3">
      <x:c r="B48" s="78">
        <x:f>S3-1</x:f>
      </x:c>
      <x:c r="C48" s="74"/>
      <x:c r="D48" s="74"/>
      <x:c r="E48" s="74"/>
      <x:c r="F48" s="74"/>
      <x:c r="G48" s="74"/>
      <x:c r="H48" s="74"/>
      <x:c r="I48" s="74">
        <x:f>SUM(C48:H48)</x:f>
      </x:c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9"/>
    </x:row>
    <x:row r="50" spans="1:21" x14ac:dyDescent="0.3">
      <x:c r="B50" s="0" t="s">
        <x:v>61</x:v>
      </x:c>
    </x:row>
    <x:row r="51" spans="1:21" x14ac:dyDescent="0.3">
      <x:c r="B51" s="6" t="s">
        <x:v>62</x:v>
      </x:c>
      <x:c r="C51" s="6"/>
      <x:c r="D51" s="6"/>
      <x:c r="E51" s="74"/>
      <x:c r="F51" s="74"/>
      <x:c r="G51" s="74"/>
      <x:c r="H51" s="74"/>
      <x:c r="I51" s="74"/>
      <x:c r="J51" s="74"/>
      <x:c r="K51" s="74"/>
      <x:c r="L51" s="6" t="s">
        <x:v>63</x:v>
      </x:c>
      <x:c r="M51" s="6"/>
      <x:c r="N51" s="6"/>
      <x:c r="O51" s="6"/>
      <x:c r="P51" s="6"/>
      <x:c r="Q51" s="6"/>
      <x:c r="R51" s="6"/>
      <x:c r="S51" s="80"/>
      <x:c r="T51" s="80"/>
      <x:c r="U51" s="80"/>
    </x:row>
    <x:row r="53" spans="1:21" x14ac:dyDescent="0.3">
      <x:c r="B53" s="0" t="s">
        <x:v>64</x:v>
      </x:c>
    </x:row>
    <x:row r="54" spans="1:21" x14ac:dyDescent="0.3">
      <x:c r="B54" s="6" t="s">
        <x:v>65</x:v>
      </x:c>
      <x:c r="C54" s="6" t="s">
        <x:v>66</x:v>
      </x:c>
      <x:c r="D54" s="6"/>
      <x:c r="E54" s="6"/>
      <x:c r="F54" s="6"/>
      <x:c r="G54" s="6" t="s">
        <x:v>67</x:v>
      </x:c>
      <x:c r="H54" s="6"/>
      <x:c r="I54" s="6"/>
      <x:c r="J54" s="6"/>
      <x:c r="K54" s="6" t="s">
        <x:v>68</x:v>
      </x:c>
      <x:c r="L54" s="6"/>
      <x:c r="M54" s="6"/>
      <x:c r="N54" s="6"/>
      <x:c r="O54" s="6" t="s">
        <x:v>44</x:v>
      </x:c>
      <x:c r="P54" s="6"/>
      <x:c r="Q54" s="6"/>
      <x:c r="R54" s="6"/>
      <x:c r="S54" s="6"/>
      <x:c r="T54" s="6"/>
      <x:c r="U54" s="6"/>
    </x:row>
    <x:row r="55" spans="1:21" x14ac:dyDescent="0.3">
      <x:c r="B55" s="6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</x:row>
    <x:row r="57" spans="1:21" x14ac:dyDescent="0.3">
      <x:c r="B57" s="6" t="s">
        <x:v>50</x:v>
      </x:c>
      <x:c r="C57" s="6" t="s">
        <x:v>70</x:v>
      </x:c>
      <x:c r="D57" s="6"/>
      <x:c r="E57" s="6"/>
      <x:c r="F57" s="6"/>
      <x:c r="G57" s="6" t="s">
        <x:v>71</x:v>
      </x:c>
      <x:c r="H57" s="6"/>
      <x:c r="I57" s="6"/>
      <x:c r="J57" s="6"/>
      <x:c r="K57" s="6" t="s">
        <x:v>72</x:v>
      </x:c>
      <x:c r="L57" s="6"/>
      <x:c r="M57" s="6"/>
      <x:c r="N57" s="6"/>
      <x:c r="O57" s="6" t="s">
        <x:v>44</x:v>
      </x:c>
      <x:c r="P57" s="6"/>
      <x:c r="Q57" s="6"/>
      <x:c r="R57" s="6"/>
      <x:c r="S57" s="6"/>
      <x:c r="T57" s="6"/>
      <x:c r="U57" s="6"/>
    </x:row>
    <x:row r="58" spans="1:21" x14ac:dyDescent="0.3">
      <x:c r="B58" s="6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</x:row>
    <x:row r="60" spans="1:21" x14ac:dyDescent="0.3">
      <x:c r="B60" s="0" t="s">
        <x:v>69</x:v>
      </x:c>
    </x:row>
    <x:row r="61" spans="1:21" x14ac:dyDescent="0.3">
      <x:c r="B61" s="81"/>
      <x:c r="C61" s="82"/>
      <x:c r="D61" s="82"/>
      <x:c r="E61" s="82"/>
      <x:c r="F61" s="82"/>
      <x:c r="G61" s="82"/>
      <x:c r="H61" s="82"/>
      <x:c r="I61" s="82"/>
      <x:c r="J61" s="82"/>
      <x:c r="K61" s="82"/>
      <x:c r="L61" s="82"/>
      <x:c r="M61" s="82"/>
      <x:c r="N61" s="82"/>
      <x:c r="O61" s="82"/>
      <x:c r="P61" s="82"/>
      <x:c r="Q61" s="82"/>
      <x:c r="R61" s="82"/>
      <x:c r="S61" s="82"/>
      <x:c r="T61" s="82"/>
      <x:c r="U61" s="83"/>
    </x:row>
    <x:row r="62" spans="1:21" x14ac:dyDescent="0.3">
      <x:c r="B62" s="84"/>
      <x:c r="C62" s="85"/>
      <x:c r="D62" s="85"/>
      <x:c r="E62" s="85"/>
      <x:c r="F62" s="85"/>
      <x:c r="G62" s="85"/>
      <x:c r="H62" s="85"/>
      <x:c r="I62" s="85"/>
      <x:c r="J62" s="85"/>
      <x:c r="K62" s="85"/>
      <x:c r="L62" s="85"/>
      <x:c r="M62" s="85"/>
      <x:c r="N62" s="85"/>
      <x:c r="O62" s="85"/>
      <x:c r="P62" s="85"/>
      <x:c r="Q62" s="85"/>
      <x:c r="R62" s="85"/>
      <x:c r="S62" s="85"/>
      <x:c r="T62" s="85"/>
      <x:c r="U62" s="86"/>
    </x:row>
    <x:row r="63" spans="1:21" x14ac:dyDescent="0.3">
      <x:c r="B63" s="84"/>
      <x:c r="C63" s="85"/>
      <x:c r="D63" s="85"/>
      <x:c r="E63" s="85"/>
      <x:c r="F63" s="85"/>
      <x:c r="G63" s="85"/>
      <x:c r="H63" s="85"/>
      <x:c r="I63" s="85"/>
      <x:c r="J63" s="85"/>
      <x:c r="K63" s="85"/>
      <x:c r="L63" s="85"/>
      <x:c r="M63" s="85"/>
      <x:c r="N63" s="85"/>
      <x:c r="O63" s="85"/>
      <x:c r="P63" s="85"/>
      <x:c r="Q63" s="85"/>
      <x:c r="R63" s="85"/>
      <x:c r="S63" s="85"/>
      <x:c r="T63" s="85"/>
      <x:c r="U63" s="86"/>
    </x:row>
    <x:row r="64" spans="1:21" x14ac:dyDescent="0.3">
      <x:c r="B64" s="84"/>
      <x:c r="C64" s="85"/>
      <x:c r="D64" s="85"/>
      <x:c r="E64" s="85"/>
      <x:c r="F64" s="85"/>
      <x:c r="G64" s="85"/>
      <x:c r="H64" s="85"/>
      <x:c r="I64" s="85"/>
      <x:c r="J64" s="85"/>
      <x:c r="K64" s="85"/>
      <x:c r="L64" s="85"/>
      <x:c r="M64" s="85"/>
      <x:c r="N64" s="85"/>
      <x:c r="O64" s="85"/>
      <x:c r="P64" s="85"/>
      <x:c r="Q64" s="85"/>
      <x:c r="R64" s="85"/>
      <x:c r="S64" s="85"/>
      <x:c r="T64" s="85"/>
      <x:c r="U64" s="86"/>
    </x:row>
    <x:row r="65" spans="1:21" x14ac:dyDescent="0.3">
      <x:c r="B65" s="84"/>
      <x:c r="C65" s="85"/>
      <x:c r="D65" s="85"/>
      <x:c r="E65" s="85"/>
      <x:c r="F65" s="85"/>
      <x:c r="G65" s="85"/>
      <x:c r="H65" s="85"/>
      <x:c r="I65" s="85"/>
      <x:c r="J65" s="85"/>
      <x:c r="K65" s="85"/>
      <x:c r="L65" s="85"/>
      <x:c r="M65" s="85"/>
      <x:c r="N65" s="85"/>
      <x:c r="O65" s="85"/>
      <x:c r="P65" s="85"/>
      <x:c r="Q65" s="85"/>
      <x:c r="R65" s="85"/>
      <x:c r="S65" s="85"/>
      <x:c r="T65" s="85"/>
      <x:c r="U65" s="86"/>
    </x:row>
    <x:row r="66" spans="1:21" x14ac:dyDescent="0.3">
      <x:c r="B66" s="84"/>
      <x:c r="C66" s="85"/>
      <x:c r="D66" s="85"/>
      <x:c r="E66" s="85"/>
      <x:c r="F66" s="85"/>
      <x:c r="G66" s="85"/>
      <x:c r="H66" s="85"/>
      <x:c r="I66" s="85"/>
      <x:c r="J66" s="85"/>
      <x:c r="K66" s="85"/>
      <x:c r="L66" s="85"/>
      <x:c r="M66" s="85"/>
      <x:c r="N66" s="85"/>
      <x:c r="O66" s="85"/>
      <x:c r="P66" s="85"/>
      <x:c r="Q66" s="85"/>
      <x:c r="R66" s="85"/>
      <x:c r="S66" s="85"/>
      <x:c r="T66" s="85"/>
      <x:c r="U66" s="86"/>
    </x:row>
    <x:row r="67" spans="1:21" x14ac:dyDescent="0.3">
      <x:c r="B67" s="84"/>
      <x:c r="C67" s="85"/>
      <x:c r="D67" s="85"/>
      <x:c r="E67" s="85"/>
      <x:c r="F67" s="85"/>
      <x:c r="G67" s="85"/>
      <x:c r="H67" s="85"/>
      <x:c r="I67" s="85"/>
      <x:c r="J67" s="85"/>
      <x:c r="K67" s="85"/>
      <x:c r="L67" s="85"/>
      <x:c r="M67" s="85"/>
      <x:c r="N67" s="85"/>
      <x:c r="O67" s="85"/>
      <x:c r="P67" s="85"/>
      <x:c r="Q67" s="85"/>
      <x:c r="R67" s="85"/>
      <x:c r="S67" s="85"/>
      <x:c r="T67" s="85"/>
      <x:c r="U67" s="86"/>
    </x:row>
    <x:row r="68" spans="1:21" x14ac:dyDescent="0.3">
      <x:c r="B68" s="84"/>
      <x:c r="C68" s="85"/>
      <x:c r="D68" s="85"/>
      <x:c r="E68" s="85"/>
      <x:c r="F68" s="85"/>
      <x:c r="G68" s="85"/>
      <x:c r="H68" s="85"/>
      <x:c r="I68" s="85"/>
      <x:c r="J68" s="85"/>
      <x:c r="K68" s="85"/>
      <x:c r="L68" s="85"/>
      <x:c r="M68" s="85"/>
      <x:c r="N68" s="85"/>
      <x:c r="O68" s="85"/>
      <x:c r="P68" s="85"/>
      <x:c r="Q68" s="85"/>
      <x:c r="R68" s="85"/>
      <x:c r="S68" s="85"/>
      <x:c r="T68" s="85"/>
      <x:c r="U68" s="86"/>
    </x:row>
    <x:row r="69" spans="1:21" x14ac:dyDescent="0.3">
      <x:c r="B69" s="84"/>
      <x:c r="C69" s="85"/>
      <x:c r="D69" s="85"/>
      <x:c r="E69" s="85"/>
      <x:c r="F69" s="85"/>
      <x:c r="G69" s="85"/>
      <x:c r="H69" s="85"/>
      <x:c r="I69" s="85"/>
      <x:c r="J69" s="85"/>
      <x:c r="K69" s="85"/>
      <x:c r="L69" s="85"/>
      <x:c r="M69" s="85"/>
      <x:c r="N69" s="85"/>
      <x:c r="O69" s="85"/>
      <x:c r="P69" s="85"/>
      <x:c r="Q69" s="85"/>
      <x:c r="R69" s="85"/>
      <x:c r="S69" s="85"/>
      <x:c r="T69" s="85"/>
      <x:c r="U69" s="86"/>
    </x:row>
    <x:row r="70" spans="1:21" x14ac:dyDescent="0.3">
      <x:c r="B70" s="87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9"/>
    </x:row>
    <x:row r="72" spans="1:21" x14ac:dyDescent="0.3">
      <x:c r="B72" s="0" t="s">
        <x:v>74</x:v>
      </x:c>
    </x:row>
    <x:row r="73" spans="1:21" x14ac:dyDescent="0.3">
      <x:c r="B73" s="81"/>
      <x:c r="C73" s="82"/>
      <x:c r="D73" s="82"/>
      <x:c r="E73" s="82"/>
      <x:c r="F73" s="82"/>
      <x:c r="G73" s="82"/>
      <x:c r="H73" s="82"/>
      <x:c r="I73" s="82"/>
      <x:c r="J73" s="82"/>
      <x:c r="K73" s="82"/>
      <x:c r="L73" s="82"/>
      <x:c r="M73" s="82"/>
      <x:c r="N73" s="82"/>
      <x:c r="O73" s="82"/>
      <x:c r="P73" s="82"/>
      <x:c r="Q73" s="82"/>
      <x:c r="R73" s="82"/>
      <x:c r="S73" s="82"/>
      <x:c r="T73" s="82"/>
      <x:c r="U73" s="83"/>
    </x:row>
    <x:row r="74" spans="1:21" x14ac:dyDescent="0.3">
      <x:c r="B74" s="87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9"/>
    </x:row>
    <x:row r="76" spans="1:21" x14ac:dyDescent="0.3">
      <x:c r="B76" s="0" t="s">
        <x:v>75</x:v>
      </x:c>
    </x:row>
    <x:row r="77" spans="1:21" x14ac:dyDescent="0.3">
      <x:c r="B77" s="81"/>
      <x:c r="C77" s="82"/>
      <x:c r="D77" s="82"/>
      <x:c r="E77" s="82"/>
      <x:c r="F77" s="82"/>
      <x:c r="G77" s="82"/>
      <x:c r="H77" s="82"/>
      <x:c r="I77" s="82"/>
      <x:c r="J77" s="82"/>
      <x:c r="K77" s="82"/>
      <x:c r="L77" s="82"/>
      <x:c r="M77" s="82"/>
      <x:c r="N77" s="82"/>
      <x:c r="O77" s="82"/>
      <x:c r="P77" s="82"/>
      <x:c r="Q77" s="82"/>
      <x:c r="R77" s="82"/>
      <x:c r="S77" s="82"/>
      <x:c r="T77" s="82"/>
      <x:c r="U77" s="83"/>
    </x:row>
    <x:row r="78" spans="1:21" x14ac:dyDescent="0.3">
      <x:c r="B78" s="87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9"/>
    </x:row>
    <x:row r="80" spans="1:21" x14ac:dyDescent="0.3">
      <x:c r="B80" s="0" t="s">
        <x:v>76</x:v>
      </x:c>
    </x:row>
    <x:row r="81" spans="1:21" x14ac:dyDescent="0.3">
      <x:c r="B81" s="81"/>
      <x:c r="C81" s="82"/>
      <x:c r="D81" s="82"/>
      <x:c r="E81" s="82"/>
      <x:c r="F81" s="82"/>
      <x:c r="G81" s="82"/>
      <x:c r="H81" s="82"/>
      <x:c r="I81" s="82"/>
      <x:c r="J81" s="82"/>
      <x:c r="K81" s="82"/>
      <x:c r="L81" s="82"/>
      <x:c r="M81" s="82"/>
      <x:c r="N81" s="82"/>
      <x:c r="O81" s="82"/>
      <x:c r="P81" s="82"/>
      <x:c r="Q81" s="82"/>
      <x:c r="R81" s="82"/>
      <x:c r="S81" s="82"/>
      <x:c r="T81" s="82"/>
      <x:c r="U81" s="83"/>
    </x:row>
    <x:row r="82" spans="1:21" x14ac:dyDescent="0.3">
      <x:c r="B82" s="87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9"/>
    </x:row>
  </x:sheetData>
  <x:sheetProtection sheet="1" objects="1"/>
  <x:mergeCells count="183">
    <x:mergeCell ref="B1:U2"/>
    <x:mergeCell ref="S3:U3"/>
    <x:mergeCell ref="B4:C4"/>
    <x:mergeCell ref="E4:F4"/>
    <x:mergeCell ref="G4:H4"/>
    <x:mergeCell ref="I4:J4"/>
    <x:mergeCell ref="K4:U4"/>
    <x:mergeCell ref="B5:C5"/>
    <x:mergeCell ref="E5:F5"/>
    <x:mergeCell ref="G5:H5"/>
    <x:mergeCell ref="I5:J5"/>
    <x:mergeCell ref="K5:U5"/>
    <x:mergeCell ref="B6:C6"/>
    <x:mergeCell ref="E6:F6"/>
    <x:mergeCell ref="G6:H6"/>
    <x:mergeCell ref="I6:J6"/>
    <x:mergeCell ref="K6:U6"/>
    <x:mergeCell ref="B7:C7"/>
    <x:mergeCell ref="E7:F7"/>
    <x:mergeCell ref="G7:H7"/>
    <x:mergeCell ref="I7:J7"/>
    <x:mergeCell ref="K7:U7"/>
    <x:mergeCell ref="B8:C8"/>
    <x:mergeCell ref="E8:F8"/>
    <x:mergeCell ref="G8:H8"/>
    <x:mergeCell ref="I8:J8"/>
    <x:mergeCell ref="K8:U8"/>
    <x:mergeCell ref="B9:J9"/>
    <x:mergeCell ref="K9:U9"/>
    <x:mergeCell ref="B10:C10"/>
    <x:mergeCell ref="E10:J10"/>
    <x:mergeCell ref="K10:U10"/>
    <x:mergeCell ref="B12:C12"/>
    <x:mergeCell ref="E12:F12"/>
    <x:mergeCell ref="G12:H12"/>
    <x:mergeCell ref="I12:J12"/>
    <x:mergeCell ref="K12:R12"/>
    <x:mergeCell ref="S12:U12"/>
    <x:mergeCell ref="B13:C13"/>
    <x:mergeCell ref="E13:F13"/>
    <x:mergeCell ref="G13:H13"/>
    <x:mergeCell ref="I13:J13"/>
    <x:mergeCell ref="K13:R13"/>
    <x:mergeCell ref="S13:U13"/>
    <x:mergeCell ref="B14:C14"/>
    <x:mergeCell ref="E14:F14"/>
    <x:mergeCell ref="G14:H14"/>
    <x:mergeCell ref="I14:J14"/>
    <x:mergeCell ref="K14:R14"/>
    <x:mergeCell ref="S14:U14"/>
    <x:mergeCell ref="B15:C15"/>
    <x:mergeCell ref="E15:F15"/>
    <x:mergeCell ref="G15:H15"/>
    <x:mergeCell ref="I15:J15"/>
    <x:mergeCell ref="K15:R15"/>
    <x:mergeCell ref="S15:U15"/>
    <x:mergeCell ref="B16:C16"/>
    <x:mergeCell ref="E16:F16"/>
    <x:mergeCell ref="G16:H16"/>
    <x:mergeCell ref="I16:J16"/>
    <x:mergeCell ref="K16:R16"/>
    <x:mergeCell ref="S16:U16"/>
    <x:mergeCell ref="B17:C17"/>
    <x:mergeCell ref="E17:F17"/>
    <x:mergeCell ref="G17:H17"/>
    <x:mergeCell ref="I17:J17"/>
    <x:mergeCell ref="K17:R17"/>
    <x:mergeCell ref="S17:U17"/>
    <x:mergeCell ref="B19:C19"/>
    <x:mergeCell ref="E19:F19"/>
    <x:mergeCell ref="G19:H19"/>
    <x:mergeCell ref="I19:J19"/>
    <x:mergeCell ref="K19:R19"/>
    <x:mergeCell ref="S19:U19"/>
    <x:mergeCell ref="B20:C20"/>
    <x:mergeCell ref="E20:F20"/>
    <x:mergeCell ref="G20:H20"/>
    <x:mergeCell ref="I20:J20"/>
    <x:mergeCell ref="K20:R20"/>
    <x:mergeCell ref="S20:U20"/>
    <x:mergeCell ref="B21:C21"/>
    <x:mergeCell ref="E21:F21"/>
    <x:mergeCell ref="G21:H21"/>
    <x:mergeCell ref="I21:J21"/>
    <x:mergeCell ref="K21:R21"/>
    <x:mergeCell ref="S21:U21"/>
    <x:mergeCell ref="B22:C22"/>
    <x:mergeCell ref="E22:F22"/>
    <x:mergeCell ref="G22:H22"/>
    <x:mergeCell ref="I22:J22"/>
    <x:mergeCell ref="K22:R22"/>
    <x:mergeCell ref="S22:U22"/>
    <x:mergeCell ref="B23:C23"/>
    <x:mergeCell ref="E23:F23"/>
    <x:mergeCell ref="G23:H23"/>
    <x:mergeCell ref="I23:J23"/>
    <x:mergeCell ref="K23:R23"/>
    <x:mergeCell ref="S23:U23"/>
    <x:mergeCell ref="B24:C24"/>
    <x:mergeCell ref="E24:F24"/>
    <x:mergeCell ref="G24:H24"/>
    <x:mergeCell ref="I24:J24"/>
    <x:mergeCell ref="K24:R24"/>
    <x:mergeCell ref="S24:U24"/>
    <x:mergeCell ref="B25:C25"/>
    <x:mergeCell ref="E25:F25"/>
    <x:mergeCell ref="G25:H25"/>
    <x:mergeCell ref="I25:J25"/>
    <x:mergeCell ref="K25:R25"/>
    <x:mergeCell ref="S25:U25"/>
    <x:mergeCell ref="B27:C27"/>
    <x:mergeCell ref="E27:F27"/>
    <x:mergeCell ref="G27:H27"/>
    <x:mergeCell ref="I27:J27"/>
    <x:mergeCell ref="K27:R27"/>
    <x:mergeCell ref="S27:U27"/>
    <x:mergeCell ref="B28:C28"/>
    <x:mergeCell ref="E28:F28"/>
    <x:mergeCell ref="G28:H28"/>
    <x:mergeCell ref="I28:J28"/>
    <x:mergeCell ref="K28:R28"/>
    <x:mergeCell ref="S28:U28"/>
    <x:mergeCell ref="I30:K30"/>
    <x:mergeCell ref="M30:O30"/>
    <x:mergeCell ref="B32:B33"/>
    <x:mergeCell ref="C32:C33"/>
    <x:mergeCell ref="D32:D33"/>
    <x:mergeCell ref="R32:R33"/>
    <x:mergeCell ref="S32:S33"/>
    <x:mergeCell ref="T32:T33"/>
    <x:mergeCell ref="U32:U33"/>
    <x:mergeCell ref="D38:F38"/>
    <x:mergeCell ref="G38:J38"/>
    <x:mergeCell ref="K38:N38"/>
    <x:mergeCell ref="O38:U38"/>
    <x:mergeCell ref="D39:F39"/>
    <x:mergeCell ref="G39:J39"/>
    <x:mergeCell ref="K39:N39"/>
    <x:mergeCell ref="O39:U39"/>
    <x:mergeCell ref="D40:F40"/>
    <x:mergeCell ref="G40:J40"/>
    <x:mergeCell ref="K40:N40"/>
    <x:mergeCell ref="O40:U40"/>
    <x:mergeCell ref="D43:F43"/>
    <x:mergeCell ref="G43:J43"/>
    <x:mergeCell ref="K43:U43"/>
    <x:mergeCell ref="D44:F44"/>
    <x:mergeCell ref="G44:J44"/>
    <x:mergeCell ref="K44:U44"/>
    <x:mergeCell ref="C47:D47"/>
    <x:mergeCell ref="E47:H47"/>
    <x:mergeCell ref="I47:K47"/>
    <x:mergeCell ref="L47:O47"/>
    <x:mergeCell ref="P47:R47"/>
    <x:mergeCell ref="S47:T47"/>
    <x:mergeCell ref="C48:D48"/>
    <x:mergeCell ref="E48:H48"/>
    <x:mergeCell ref="I48:K48"/>
    <x:mergeCell ref="L48:O48"/>
    <x:mergeCell ref="P48:R48"/>
    <x:mergeCell ref="S48:T48"/>
    <x:mergeCell ref="B51:D51"/>
    <x:mergeCell ref="E51:K51"/>
    <x:mergeCell ref="L51:R51"/>
    <x:mergeCell ref="S51:U51"/>
    <x:mergeCell ref="B54:B55"/>
    <x:mergeCell ref="C54:F54"/>
    <x:mergeCell ref="G54:J54"/>
    <x:mergeCell ref="K54:N54"/>
    <x:mergeCell ref="O54:U54"/>
    <x:mergeCell ref="C55:F55"/>
    <x:mergeCell ref="G55:J55"/>
    <x:mergeCell ref="K55:N55"/>
    <x:mergeCell ref="O55:U55"/>
    <x:mergeCell ref="B57:B58"/>
    <x:mergeCell ref="C57:F57"/>
    <x:mergeCell ref="G57:J57"/>
    <x:mergeCell ref="K57:N57"/>
    <x:mergeCell ref="O57:U57"/>
    <x:mergeCell ref="C58:F58"/>
    <x:mergeCell ref="G58:J58"/>
    <x:mergeCell ref="K58:N58"/>
    <x:mergeCell ref="O58:U58"/>
  </x:mergeCells>
  <x:phoneticPr fontId="2" type="noConversion"/>
  <x:conditionalFormatting sqref="E34:Q35">
    <x:cfRule type="expression" dxfId="0" priority="1" operator="equal">
      <x:formula>E$33="일"</x:formula>
    </x:cfRule>
    <x:cfRule type="expression" dxfId="0" priority="2" operator="equal">
      <x:formula>E$33="토"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939475-B00E-4E29-ABE7-9732EDB79B41}" mc:Ignorable="x14ac xr xr2 xr3">
  <x:sheetPr>
    <x:outlinePr summaryBelow="1" summaryRight="1"/>
  </x:sheetPr>
  <x:dimension ref="A1:B42"/>
  <x:sheetViews>
    <x:sheetView workbookViewId="0">
      <x:selection activeCell="F12" sqref="F12"/>
    </x:sheetView>
  </x:sheetViews>
  <x:sheetFormatPr defaultRowHeight="16.5" x14ac:dyDescent="0.3"/>
  <x:cols>
    <x:col min="1" max="1" width="11.125" style="0" bestFit="1" customWidth="1"/>
  </x:cols>
  <x:sheetData>
    <x:row r="1" spans="1:2" x14ac:dyDescent="0.3">
      <x:c r="A1" s="0" t="s">
        <x:v>77</x:v>
      </x:c>
      <x:c r="B1" s="0">
        <x:v>2025</x:v>
      </x:c>
    </x:row>
    <x:row r="3" spans="1:2" x14ac:dyDescent="0.3">
      <x:c r="A3" s="3">
        <x:v>45658</x:v>
      </x:c>
      <x:c r="B3" s="0" t="s">
        <x:v>78</x:v>
      </x:c>
    </x:row>
    <x:row r="4" spans="1:2" x14ac:dyDescent="0.3">
      <x:c r="A4" s="3">
        <x:v>45684</x:v>
      </x:c>
      <x:c r="B4" s="0" t="s">
        <x:v>79</x:v>
      </x:c>
    </x:row>
    <x:row r="5" spans="1:2" x14ac:dyDescent="0.3">
      <x:c r="A5" s="3">
        <x:v>45685</x:v>
      </x:c>
      <x:c r="B5" s="0" t="s">
        <x:v>80</x:v>
      </x:c>
    </x:row>
    <x:row r="6" spans="1:2" x14ac:dyDescent="0.3">
      <x:c r="A6" s="3">
        <x:v>45686</x:v>
      </x:c>
      <x:c r="B6" s="0" t="s">
        <x:v>80</x:v>
      </x:c>
    </x:row>
    <x:row r="7" spans="1:2" x14ac:dyDescent="0.3">
      <x:c r="A7" s="3">
        <x:v>45687</x:v>
      </x:c>
      <x:c r="B7" s="0" t="s">
        <x:v>80</x:v>
      </x:c>
    </x:row>
    <x:row r="8" spans="1:2" x14ac:dyDescent="0.3">
      <x:c r="A8" s="3">
        <x:v>45717</x:v>
      </x:c>
      <x:c r="B8" s="0" t="s">
        <x:v>81</x:v>
      </x:c>
    </x:row>
    <x:row r="9" spans="1:2" x14ac:dyDescent="0.3">
      <x:c r="A9" s="3">
        <x:v>45719</x:v>
      </x:c>
      <x:c r="B9" s="0" t="s">
        <x:v>79</x:v>
      </x:c>
    </x:row>
    <x:row r="10" spans="1:2" x14ac:dyDescent="0.3">
      <x:c r="A10" s="3">
        <x:v>45782</x:v>
      </x:c>
      <x:c r="B10" s="0" t="s">
        <x:v>73</x:v>
      </x:c>
    </x:row>
    <x:row r="11" spans="1:2" x14ac:dyDescent="0.3">
      <x:c r="A11" s="3">
        <x:v>45783</x:v>
      </x:c>
      <x:c r="B11" s="0" t="s">
        <x:v>79</x:v>
      </x:c>
    </x:row>
    <x:row r="12" spans="1:2" x14ac:dyDescent="0.3">
      <x:c r="A12" s="3">
        <x:v>45811</x:v>
      </x:c>
      <x:c r="B12" s="0" t="s">
        <x:v>82</x:v>
      </x:c>
    </x:row>
    <x:row r="13" spans="1:2" x14ac:dyDescent="0.3">
      <x:c r="A13" s="3">
        <x:v>45814</x:v>
      </x:c>
      <x:c r="B13" s="0" t="s">
        <x:v>84</x:v>
      </x:c>
    </x:row>
    <x:row r="14" spans="1:2" x14ac:dyDescent="0.3">
      <x:c r="A14" s="3">
        <x:v>45874</x:v>
      </x:c>
      <x:c r="B14" s="0" t="s">
        <x:v>85</x:v>
      </x:c>
    </x:row>
    <x:row r="15" spans="1:2" x14ac:dyDescent="0.3">
      <x:c r="A15" s="3">
        <x:v>45933</x:v>
      </x:c>
      <x:c r="B15" s="0" t="s">
        <x:v>86</x:v>
      </x:c>
    </x:row>
    <x:row r="16" spans="1:2" x14ac:dyDescent="0.3">
      <x:c r="A16" s="3">
        <x:v>45935</x:v>
      </x:c>
      <x:c r="B16" s="0" t="s">
        <x:v>87</x:v>
      </x:c>
    </x:row>
    <x:row r="17" spans="1:2" x14ac:dyDescent="0.3">
      <x:c r="A17" s="3">
        <x:v>45936</x:v>
      </x:c>
      <x:c r="B17" s="0" t="s">
        <x:v>87</x:v>
      </x:c>
    </x:row>
    <x:row r="18" spans="1:2" x14ac:dyDescent="0.3">
      <x:c r="A18" s="3">
        <x:v>45937</x:v>
      </x:c>
      <x:c r="B18" s="0" t="s">
        <x:v>87</x:v>
      </x:c>
    </x:row>
    <x:row r="19" spans="1:2" x14ac:dyDescent="0.3">
      <x:c r="A19" s="3">
        <x:v>45938</x:v>
      </x:c>
      <x:c r="B19" s="0" t="s">
        <x:v>79</x:v>
      </x:c>
    </x:row>
    <x:row r="20" spans="1:2" x14ac:dyDescent="0.3">
      <x:c r="A20" s="3">
        <x:v>45939</x:v>
      </x:c>
      <x:c r="B20" s="0" t="s">
        <x:v>83</x:v>
      </x:c>
    </x:row>
    <x:row r="21" spans="1:2" x14ac:dyDescent="0.3">
      <x:c r="A21" s="3">
        <x:v>46016</x:v>
      </x:c>
      <x:c r="B21" s="0" t="s">
        <x:v>89</x:v>
      </x:c>
    </x:row>
    <x:row r="22" spans="1:2" x14ac:dyDescent="0.3">
      <x:c r="A22" s="3">
        <x:v>46023</x:v>
      </x:c>
      <x:c r="B22" s="0" t="s">
        <x:v>78</x:v>
      </x:c>
    </x:row>
    <x:row r="23" spans="1:2" x14ac:dyDescent="0.3">
      <x:c r="A23" s="3">
        <x:v>46069</x:v>
      </x:c>
      <x:c r="B23" s="0" t="s">
        <x:v>80</x:v>
      </x:c>
    </x:row>
    <x:row r="24" spans="1:2" x14ac:dyDescent="0.3">
      <x:c r="A24" s="3">
        <x:v>46070</x:v>
      </x:c>
      <x:c r="B24" s="0" t="s">
        <x:v>80</x:v>
      </x:c>
    </x:row>
    <x:row r="25" spans="1:2" x14ac:dyDescent="0.3">
      <x:c r="A25" s="3">
        <x:v>46071</x:v>
      </x:c>
      <x:c r="B25" s="0" t="s">
        <x:v>80</x:v>
      </x:c>
    </x:row>
    <x:row r="26" spans="1:2" x14ac:dyDescent="0.3">
      <x:c r="A26" s="3">
        <x:v>46082</x:v>
      </x:c>
      <x:c r="B26" s="0" t="s">
        <x:v>81</x:v>
      </x:c>
    </x:row>
    <x:row r="27" spans="1:2" x14ac:dyDescent="0.3">
      <x:c r="A27" s="3">
        <x:v>46083</x:v>
      </x:c>
      <x:c r="B27" s="0" t="s">
        <x:v>88</x:v>
      </x:c>
    </x:row>
    <x:row r="28" spans="1:2" x14ac:dyDescent="0.3">
      <x:c r="A28" s="3">
        <x:v>46143</x:v>
      </x:c>
      <x:c r="B28" s="0" t="s">
        <x:v>91</x:v>
      </x:c>
    </x:row>
    <x:row r="29" spans="1:2" x14ac:dyDescent="0.3">
      <x:c r="A29" s="3">
        <x:v>46147</x:v>
      </x:c>
      <x:c r="B29" s="0" t="s">
        <x:v>92</x:v>
      </x:c>
    </x:row>
    <x:row r="30" spans="1:2" x14ac:dyDescent="0.3">
      <x:c r="A30" s="3">
        <x:v>46166</x:v>
      </x:c>
      <x:c r="B30" s="0" t="s">
        <x:v>93</x:v>
      </x:c>
    </x:row>
    <x:row r="31" spans="1:2" x14ac:dyDescent="0.3">
      <x:c r="A31" s="3">
        <x:v>46167</x:v>
      </x:c>
      <x:c r="B31" s="0" t="s">
        <x:v>88</x:v>
      </x:c>
    </x:row>
    <x:row r="32" spans="1:2" x14ac:dyDescent="0.3">
      <x:c r="A32" s="3">
        <x:v>46176</x:v>
      </x:c>
      <x:c r="B32" s="0" t="s">
        <x:v>90</x:v>
      </x:c>
    </x:row>
    <x:row r="33" spans="1:2" x14ac:dyDescent="0.3">
      <x:c r="A33" s="3">
        <x:v>46179</x:v>
      </x:c>
      <x:c r="B33" s="0" t="s">
        <x:v>84</x:v>
      </x:c>
    </x:row>
    <x:row r="34" spans="1:2" x14ac:dyDescent="0.3">
      <x:c r="A34" s="3">
        <x:v>46249</x:v>
      </x:c>
      <x:c r="B34" s="0" t="s">
        <x:v>85</x:v>
      </x:c>
    </x:row>
    <x:row r="35" spans="1:2" x14ac:dyDescent="0.3">
      <x:c r="A35" s="3">
        <x:v>46251</x:v>
      </x:c>
      <x:c r="B35" s="0" t="s">
        <x:v>88</x:v>
      </x:c>
    </x:row>
    <x:row r="36" spans="1:2" x14ac:dyDescent="0.3">
      <x:c r="A36" s="3">
        <x:v>46289</x:v>
      </x:c>
      <x:c r="B36" s="0" t="s">
        <x:v>87</x:v>
      </x:c>
    </x:row>
    <x:row r="37" spans="1:2" x14ac:dyDescent="0.3">
      <x:c r="A37" s="3">
        <x:v>46290</x:v>
      </x:c>
      <x:c r="B37" s="0" t="s">
        <x:v>87</x:v>
      </x:c>
    </x:row>
    <x:row r="38" spans="1:2" x14ac:dyDescent="0.3">
      <x:c r="A38" s="3">
        <x:v>46291</x:v>
      </x:c>
      <x:c r="B38" s="0" t="s">
        <x:v>87</x:v>
      </x:c>
    </x:row>
    <x:row r="39" spans="1:2" x14ac:dyDescent="0.3">
      <x:c r="A39" s="3">
        <x:v>46298</x:v>
      </x:c>
      <x:c r="B39" s="0" t="s">
        <x:v>86</x:v>
      </x:c>
    </x:row>
    <x:row r="40" spans="1:2" x14ac:dyDescent="0.3">
      <x:c r="A40" s="3">
        <x:v>46300</x:v>
      </x:c>
      <x:c r="B40" s="0" t="s">
        <x:v>88</x:v>
      </x:c>
    </x:row>
    <x:row r="41" spans="1:2" x14ac:dyDescent="0.3">
      <x:c r="A41" s="3">
        <x:v>46304</x:v>
      </x:c>
      <x:c r="B41" s="0" t="s">
        <x:v>83</x:v>
      </x:c>
    </x:row>
    <x:row r="42" spans="1:2" x14ac:dyDescent="0.3">
      <x:c r="A42" s="3">
        <x:v>46381</x:v>
      </x:c>
      <x:c r="B42" s="0" t="s">
        <x:v>89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12월18일</vt:lpstr>
      <vt:lpstr>공휴일</vt:lpstr>
      <vt:lpstr>12월18일!Print_Area</vt:lpstr>
      <vt:lpstr>12월18일!Print_Titles</vt:lpstr>
      <vt:lpstr>공휴일!Print_Area</vt:lpstr>
      <vt:lpstr>공휴일!Print_Titles</vt:lpstr>
      <vt:lpstr>공휴일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박정호 이사</dc:creator>
  <lastModifiedBy>박정호 이사</lastModifiedBy>
  <dcterms:created xsi:type="dcterms:W3CDTF">2025-12-17T05:29:23.0000000Z</dcterms:created>
  <dcterms:modified xsi:type="dcterms:W3CDTF">2026-03-06T00:14:03.0000000Z</dcterms:modified>
</coreProperties>
</file>